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anPJ\OneDrive\dnd\Homebrew\"/>
    </mc:Choice>
  </mc:AlternateContent>
  <xr:revisionPtr revIDLastSave="1843" documentId="8_{678D90C3-4D02-405B-9ACF-51B18A9FBC14}" xr6:coauthVersionLast="43" xr6:coauthVersionMax="43" xr10:uidLastSave="{3FA71086-6793-4287-BC30-D23C4CCDFD4C}"/>
  <bookViews>
    <workbookView xWindow="-120" yWindow="-120" windowWidth="38640" windowHeight="21240" xr2:uid="{08E07D9D-39D8-45DA-9254-72B6CD095F0D}"/>
  </bookViews>
  <sheets>
    <sheet name="Store" sheetId="2" r:id="rId1"/>
    <sheet name="Settings" sheetId="1" r:id="rId2"/>
    <sheet name="Minor Magic Item Tables" sheetId="3" r:id="rId3"/>
    <sheet name="Major Magic Item Tables" sheetId="4" r:id="rId4"/>
  </sheets>
  <definedNames>
    <definedName name="APL">Store!$O$3</definedName>
    <definedName name="Base">Store!$I$2</definedName>
    <definedName name="Chance_for_Major_Item">Settings!$F$5</definedName>
    <definedName name="Combined_Player_Levels">Store!$I$3</definedName>
    <definedName name="Magic_Rarity_Constant">Settings!$F$1</definedName>
    <definedName name="Number_of_Inventory_Slots">Store!$O$2</definedName>
    <definedName name="Number_of_Players">Store!$I$4</definedName>
    <definedName name="Skill_Check_Roll">Store!$I$5</definedName>
    <definedName name="Tier">Store!$O$4</definedName>
    <definedName name="Use_Skill_Check">Settings!$F$3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6" i="1" l="1"/>
  <c r="A27" i="1"/>
  <c r="A28" i="1"/>
  <c r="A29" i="1"/>
  <c r="A30" i="1"/>
  <c r="B1" i="4" l="1"/>
  <c r="C56" i="4" l="1"/>
  <c r="K18" i="2"/>
  <c r="K17" i="2"/>
  <c r="K16" i="2"/>
  <c r="K15" i="2"/>
  <c r="K14" i="2"/>
  <c r="K13" i="2"/>
  <c r="G19" i="4"/>
  <c r="C38" i="4" s="1"/>
  <c r="C4" i="4"/>
  <c r="B5" i="4"/>
  <c r="K19" i="2" l="1"/>
  <c r="C24" i="3"/>
  <c r="C23" i="3"/>
  <c r="G24" i="3"/>
  <c r="C11" i="3" s="1"/>
  <c r="G22" i="3"/>
  <c r="B32" i="3" s="1"/>
  <c r="G4" i="3"/>
  <c r="B11" i="3" s="1"/>
  <c r="B29" i="3"/>
  <c r="B13" i="3"/>
  <c r="D1" i="4" l="1"/>
  <c r="E1" i="3"/>
  <c r="O3" i="2"/>
  <c r="O4" i="2" s="1"/>
  <c r="O2" i="2"/>
  <c r="B1" i="3"/>
  <c r="C1" i="3"/>
  <c r="C1" i="4"/>
  <c r="E1" i="4"/>
  <c r="D1" i="3"/>
  <c r="A1" i="3"/>
  <c r="A93" i="2" l="1"/>
  <c r="A85" i="2"/>
  <c r="A77" i="2"/>
  <c r="A69" i="2"/>
  <c r="A61" i="2"/>
  <c r="A100" i="2"/>
  <c r="A96" i="2"/>
  <c r="A92" i="2"/>
  <c r="A88" i="2"/>
  <c r="A84" i="2"/>
  <c r="A80" i="2"/>
  <c r="A76" i="2"/>
  <c r="A72" i="2"/>
  <c r="A68" i="2"/>
  <c r="A64" i="2"/>
  <c r="A98" i="2"/>
  <c r="A94" i="2"/>
  <c r="A90" i="2"/>
  <c r="A86" i="2"/>
  <c r="A82" i="2"/>
  <c r="A78" i="2"/>
  <c r="A74" i="2"/>
  <c r="A70" i="2"/>
  <c r="A66" i="2"/>
  <c r="A62" i="2"/>
  <c r="A97" i="2"/>
  <c r="A89" i="2"/>
  <c r="A81" i="2"/>
  <c r="A73" i="2"/>
  <c r="A65" i="2"/>
  <c r="A99" i="2"/>
  <c r="A95" i="2"/>
  <c r="A91" i="2"/>
  <c r="A87" i="2"/>
  <c r="A83" i="2"/>
  <c r="A79" i="2"/>
  <c r="A75" i="2"/>
  <c r="A71" i="2"/>
  <c r="A67" i="2"/>
  <c r="A63" i="2"/>
  <c r="F93" i="2"/>
  <c r="F85" i="2"/>
  <c r="F77" i="2"/>
  <c r="F65" i="2"/>
  <c r="F100" i="2"/>
  <c r="F96" i="2"/>
  <c r="F92" i="2"/>
  <c r="F88" i="2"/>
  <c r="F84" i="2"/>
  <c r="F80" i="2"/>
  <c r="F76" i="2"/>
  <c r="F72" i="2"/>
  <c r="F68" i="2"/>
  <c r="F64" i="2"/>
  <c r="F98" i="2"/>
  <c r="F94" i="2"/>
  <c r="F90" i="2"/>
  <c r="F86" i="2"/>
  <c r="F82" i="2"/>
  <c r="F78" i="2"/>
  <c r="F74" i="2"/>
  <c r="F70" i="2"/>
  <c r="F66" i="2"/>
  <c r="F62" i="2"/>
  <c r="F97" i="2"/>
  <c r="F89" i="2"/>
  <c r="F81" i="2"/>
  <c r="F73" i="2"/>
  <c r="F69" i="2"/>
  <c r="F61" i="2"/>
  <c r="F99" i="2"/>
  <c r="F95" i="2"/>
  <c r="F91" i="2"/>
  <c r="F87" i="2"/>
  <c r="F83" i="2"/>
  <c r="F79" i="2"/>
  <c r="F75" i="2"/>
  <c r="F71" i="2"/>
  <c r="F67" i="2"/>
  <c r="F63" i="2"/>
  <c r="E98" i="2"/>
  <c r="E94" i="2"/>
  <c r="E90" i="2"/>
  <c r="E86" i="2"/>
  <c r="E82" i="2"/>
  <c r="E78" i="2"/>
  <c r="E74" i="2"/>
  <c r="E70" i="2"/>
  <c r="E66" i="2"/>
  <c r="E62" i="2"/>
  <c r="E97" i="2"/>
  <c r="E93" i="2"/>
  <c r="E89" i="2"/>
  <c r="E85" i="2"/>
  <c r="E81" i="2"/>
  <c r="E77" i="2"/>
  <c r="E73" i="2"/>
  <c r="E69" i="2"/>
  <c r="E65" i="2"/>
  <c r="E61" i="2"/>
  <c r="E100" i="2"/>
  <c r="E96" i="2"/>
  <c r="E92" i="2"/>
  <c r="E88" i="2"/>
  <c r="E84" i="2"/>
  <c r="E80" i="2"/>
  <c r="E76" i="2"/>
  <c r="E72" i="2"/>
  <c r="E68" i="2"/>
  <c r="E64" i="2"/>
  <c r="E99" i="2"/>
  <c r="E95" i="2"/>
  <c r="E91" i="2"/>
  <c r="E87" i="2"/>
  <c r="E83" i="2"/>
  <c r="E79" i="2"/>
  <c r="E75" i="2"/>
  <c r="E71" i="2"/>
  <c r="E67" i="2"/>
  <c r="E63" i="2"/>
  <c r="D53" i="2"/>
  <c r="D82" i="2"/>
  <c r="D26" i="2"/>
  <c r="D95" i="2"/>
  <c r="D39" i="2"/>
  <c r="D69" i="2"/>
  <c r="D10" i="2"/>
  <c r="D93" i="2"/>
  <c r="D79" i="2"/>
  <c r="D63" i="2"/>
  <c r="D50" i="2"/>
  <c r="D37" i="2"/>
  <c r="D21" i="2"/>
  <c r="D7" i="2"/>
  <c r="D90" i="2"/>
  <c r="D74" i="2"/>
  <c r="D61" i="2"/>
  <c r="D47" i="2"/>
  <c r="D31" i="2"/>
  <c r="D18" i="2"/>
  <c r="D5" i="2"/>
  <c r="D85" i="2"/>
  <c r="D71" i="2"/>
  <c r="D58" i="2"/>
  <c r="D42" i="2"/>
  <c r="D29" i="2"/>
  <c r="D15" i="2"/>
  <c r="D98" i="2"/>
  <c r="D87" i="2"/>
  <c r="D77" i="2"/>
  <c r="D66" i="2"/>
  <c r="D55" i="2"/>
  <c r="D45" i="2"/>
  <c r="D34" i="2"/>
  <c r="D23" i="2"/>
  <c r="D13" i="2"/>
  <c r="C97" i="2"/>
  <c r="C86" i="2"/>
  <c r="C76" i="2"/>
  <c r="C65" i="2"/>
  <c r="C54" i="2"/>
  <c r="C44" i="2"/>
  <c r="C33" i="2"/>
  <c r="C22" i="2"/>
  <c r="C12" i="2"/>
  <c r="D97" i="2"/>
  <c r="D91" i="2"/>
  <c r="D86" i="2"/>
  <c r="D81" i="2"/>
  <c r="D75" i="2"/>
  <c r="D70" i="2"/>
  <c r="D65" i="2"/>
  <c r="D59" i="2"/>
  <c r="E59" i="2" s="1"/>
  <c r="D54" i="2"/>
  <c r="E54" i="2" s="1"/>
  <c r="D49" i="2"/>
  <c r="D43" i="2"/>
  <c r="D38" i="2"/>
  <c r="D33" i="2"/>
  <c r="D27" i="2"/>
  <c r="D22" i="2"/>
  <c r="E22" i="2" s="1"/>
  <c r="D17" i="2"/>
  <c r="D11" i="2"/>
  <c r="D6" i="2"/>
  <c r="C93" i="2"/>
  <c r="C82" i="2"/>
  <c r="C72" i="2"/>
  <c r="C61" i="2"/>
  <c r="C50" i="2"/>
  <c r="C40" i="2"/>
  <c r="C29" i="2"/>
  <c r="C18" i="2"/>
  <c r="C8" i="2"/>
  <c r="C92" i="2"/>
  <c r="C81" i="2"/>
  <c r="C70" i="2"/>
  <c r="C60" i="2"/>
  <c r="C49" i="2"/>
  <c r="C38" i="2"/>
  <c r="C28" i="2"/>
  <c r="C17" i="2"/>
  <c r="C6" i="2"/>
  <c r="D99" i="2"/>
  <c r="D94" i="2"/>
  <c r="D89" i="2"/>
  <c r="D83" i="2"/>
  <c r="D78" i="2"/>
  <c r="D73" i="2"/>
  <c r="D67" i="2"/>
  <c r="D62" i="2"/>
  <c r="D57" i="2"/>
  <c r="D51" i="2"/>
  <c r="D46" i="2"/>
  <c r="D41" i="2"/>
  <c r="D35" i="2"/>
  <c r="D30" i="2"/>
  <c r="D25" i="2"/>
  <c r="D19" i="2"/>
  <c r="D14" i="2"/>
  <c r="D9" i="2"/>
  <c r="D3" i="2"/>
  <c r="C98" i="2"/>
  <c r="C88" i="2"/>
  <c r="C77" i="2"/>
  <c r="C66" i="2"/>
  <c r="C56" i="2"/>
  <c r="C45" i="2"/>
  <c r="C34" i="2"/>
  <c r="C24" i="2"/>
  <c r="C13" i="2"/>
  <c r="C90" i="2"/>
  <c r="C80" i="2"/>
  <c r="C69" i="2"/>
  <c r="C58" i="2"/>
  <c r="C48" i="2"/>
  <c r="C42" i="2"/>
  <c r="C32" i="2"/>
  <c r="C21" i="2"/>
  <c r="C16" i="2"/>
  <c r="C5" i="2"/>
  <c r="D100" i="2"/>
  <c r="D96" i="2"/>
  <c r="D92" i="2"/>
  <c r="D88" i="2"/>
  <c r="D84" i="2"/>
  <c r="D80" i="2"/>
  <c r="D76" i="2"/>
  <c r="D72" i="2"/>
  <c r="D68" i="2"/>
  <c r="D64" i="2"/>
  <c r="D60" i="2"/>
  <c r="D56" i="2"/>
  <c r="D52" i="2"/>
  <c r="D48" i="2"/>
  <c r="D44" i="2"/>
  <c r="E44" i="2" s="1"/>
  <c r="D40" i="2"/>
  <c r="D36" i="2"/>
  <c r="E36" i="2" s="1"/>
  <c r="D32" i="2"/>
  <c r="D28" i="2"/>
  <c r="D24" i="2"/>
  <c r="D20" i="2"/>
  <c r="D16" i="2"/>
  <c r="D12" i="2"/>
  <c r="D8" i="2"/>
  <c r="D4" i="2"/>
  <c r="C100" i="2"/>
  <c r="C94" i="2"/>
  <c r="C89" i="2"/>
  <c r="C84" i="2"/>
  <c r="C78" i="2"/>
  <c r="C73" i="2"/>
  <c r="C68" i="2"/>
  <c r="C62" i="2"/>
  <c r="C57" i="2"/>
  <c r="C52" i="2"/>
  <c r="C46" i="2"/>
  <c r="C41" i="2"/>
  <c r="C36" i="2"/>
  <c r="C30" i="2"/>
  <c r="C25" i="2"/>
  <c r="C20" i="2"/>
  <c r="C14" i="2"/>
  <c r="C9" i="2"/>
  <c r="C4" i="2"/>
  <c r="C3" i="2"/>
  <c r="C7" i="2"/>
  <c r="C11" i="2"/>
  <c r="C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96" i="2"/>
  <c r="C85" i="2"/>
  <c r="C74" i="2"/>
  <c r="C64" i="2"/>
  <c r="C53" i="2"/>
  <c r="C37" i="2"/>
  <c r="C26" i="2"/>
  <c r="C10" i="2"/>
  <c r="H15" i="1"/>
  <c r="H14" i="1"/>
  <c r="H13" i="1"/>
  <c r="H12" i="1"/>
  <c r="H11" i="1"/>
  <c r="H10" i="1"/>
  <c r="H9" i="1"/>
  <c r="E60" i="2" l="1"/>
  <c r="F60" i="2" s="1"/>
  <c r="A60" i="2" s="1"/>
  <c r="F59" i="2"/>
  <c r="A59" i="2" s="1"/>
  <c r="E58" i="2"/>
  <c r="F58" i="2" s="1"/>
  <c r="A58" i="2" s="1"/>
  <c r="E24" i="2"/>
  <c r="E40" i="2"/>
  <c r="E56" i="2"/>
  <c r="F56" i="2" s="1"/>
  <c r="A56" i="2" s="1"/>
  <c r="E28" i="2"/>
  <c r="E33" i="2"/>
  <c r="F33" i="2" s="1"/>
  <c r="A33" i="2" s="1"/>
  <c r="E32" i="2"/>
  <c r="F32" i="2" s="1"/>
  <c r="A32" i="2" s="1"/>
  <c r="E48" i="2"/>
  <c r="F48" i="2" s="1"/>
  <c r="A48" i="2" s="1"/>
  <c r="E41" i="2"/>
  <c r="E38" i="2"/>
  <c r="F38" i="2" s="1"/>
  <c r="A38" i="2" s="1"/>
  <c r="E45" i="2"/>
  <c r="F45" i="2" s="1"/>
  <c r="A45" i="2" s="1"/>
  <c r="E42" i="2"/>
  <c r="F42" i="2" s="1"/>
  <c r="A42" i="2" s="1"/>
  <c r="E21" i="2"/>
  <c r="E39" i="2"/>
  <c r="F39" i="2" s="1"/>
  <c r="A39" i="2" s="1"/>
  <c r="E53" i="2"/>
  <c r="E52" i="2"/>
  <c r="E25" i="2"/>
  <c r="F25" i="2" s="1"/>
  <c r="A25" i="2" s="1"/>
  <c r="E46" i="2"/>
  <c r="F46" i="2" s="1"/>
  <c r="A46" i="2" s="1"/>
  <c r="E43" i="2"/>
  <c r="F43" i="2" s="1"/>
  <c r="A43" i="2" s="1"/>
  <c r="E55" i="2"/>
  <c r="F55" i="2" s="1"/>
  <c r="A55" i="2" s="1"/>
  <c r="E37" i="2"/>
  <c r="F37" i="2" s="1"/>
  <c r="A37" i="2" s="1"/>
  <c r="F36" i="2"/>
  <c r="A36" i="2" s="1"/>
  <c r="F52" i="2"/>
  <c r="A52" i="2" s="1"/>
  <c r="E30" i="2"/>
  <c r="F30" i="2" s="1"/>
  <c r="A30" i="2" s="1"/>
  <c r="E51" i="2"/>
  <c r="E27" i="2"/>
  <c r="F27" i="2" s="1"/>
  <c r="A27" i="2" s="1"/>
  <c r="E49" i="2"/>
  <c r="F49" i="2" s="1"/>
  <c r="A49" i="2" s="1"/>
  <c r="E23" i="2"/>
  <c r="F23" i="2" s="1"/>
  <c r="A23" i="2" s="1"/>
  <c r="E31" i="2"/>
  <c r="F31" i="2" s="1"/>
  <c r="A31" i="2" s="1"/>
  <c r="E50" i="2"/>
  <c r="F50" i="2" s="1"/>
  <c r="A50" i="2" s="1"/>
  <c r="E26" i="2"/>
  <c r="F26" i="2" s="1"/>
  <c r="A26" i="2" s="1"/>
  <c r="F41" i="2"/>
  <c r="A41" i="2" s="1"/>
  <c r="F22" i="2"/>
  <c r="A22" i="2" s="1"/>
  <c r="F54" i="2"/>
  <c r="A54" i="2" s="1"/>
  <c r="F24" i="2"/>
  <c r="A24" i="2" s="1"/>
  <c r="F40" i="2"/>
  <c r="A40" i="2" s="1"/>
  <c r="F21" i="2"/>
  <c r="A21" i="2" s="1"/>
  <c r="F53" i="2"/>
  <c r="A53" i="2" s="1"/>
  <c r="E35" i="2"/>
  <c r="F35" i="2" s="1"/>
  <c r="A35" i="2" s="1"/>
  <c r="E57" i="2"/>
  <c r="F57" i="2" s="1"/>
  <c r="A57" i="2" s="1"/>
  <c r="E34" i="2"/>
  <c r="F34" i="2" s="1"/>
  <c r="A34" i="2" s="1"/>
  <c r="E29" i="2"/>
  <c r="F29" i="2" s="1"/>
  <c r="A29" i="2" s="1"/>
  <c r="E47" i="2"/>
  <c r="F47" i="2" s="1"/>
  <c r="A47" i="2" s="1"/>
  <c r="F51" i="2"/>
  <c r="A51" i="2" s="1"/>
  <c r="F28" i="2"/>
  <c r="A28" i="2" s="1"/>
  <c r="F44" i="2"/>
  <c r="A44" i="2" s="1"/>
  <c r="B21" i="1"/>
  <c r="B22" i="1" s="1"/>
  <c r="B19" i="1"/>
  <c r="B18" i="1" s="1"/>
  <c r="C19" i="1" l="1"/>
  <c r="C18" i="1"/>
  <c r="B26" i="1" s="1"/>
  <c r="C26" i="1" s="1"/>
  <c r="C20" i="1"/>
  <c r="C22" i="1"/>
  <c r="C21" i="1"/>
  <c r="B27" i="1" l="1"/>
  <c r="C27" i="1" s="1"/>
  <c r="E9" i="2"/>
  <c r="F9" i="2" s="1"/>
  <c r="A9" i="2" s="1"/>
  <c r="E17" i="2"/>
  <c r="F17" i="2" s="1"/>
  <c r="A17" i="2" s="1"/>
  <c r="E14" i="2"/>
  <c r="F14" i="2" s="1"/>
  <c r="A14" i="2" s="1"/>
  <c r="B28" i="1" l="1"/>
  <c r="E20" i="2"/>
  <c r="F20" i="2" s="1"/>
  <c r="A20" i="2" s="1"/>
  <c r="E10" i="2"/>
  <c r="F10" i="2" s="1"/>
  <c r="A10" i="2" s="1"/>
  <c r="E13" i="2"/>
  <c r="F13" i="2" s="1"/>
  <c r="A13" i="2" s="1"/>
  <c r="E4" i="2"/>
  <c r="F4" i="2" s="1"/>
  <c r="A4" i="2" s="1"/>
  <c r="E16" i="2"/>
  <c r="F16" i="2" s="1"/>
  <c r="A16" i="2" s="1"/>
  <c r="E15" i="2"/>
  <c r="F15" i="2" s="1"/>
  <c r="A15" i="2" s="1"/>
  <c r="E18" i="2"/>
  <c r="F18" i="2" s="1"/>
  <c r="A18" i="2" s="1"/>
  <c r="E6" i="2"/>
  <c r="F6" i="2" s="1"/>
  <c r="A6" i="2" s="1"/>
  <c r="E12" i="2"/>
  <c r="F12" i="2" s="1"/>
  <c r="A12" i="2" s="1"/>
  <c r="E19" i="2"/>
  <c r="F19" i="2" s="1"/>
  <c r="A19" i="2" s="1"/>
  <c r="E11" i="2"/>
  <c r="F11" i="2" s="1"/>
  <c r="A11" i="2" s="1"/>
  <c r="C28" i="1" l="1"/>
  <c r="B29" i="1"/>
  <c r="E8" i="2"/>
  <c r="F8" i="2" s="1"/>
  <c r="A8" i="2" s="1"/>
  <c r="C29" i="1" l="1"/>
  <c r="B30" i="1" s="1"/>
  <c r="E7" i="2"/>
  <c r="F7" i="2" s="1"/>
  <c r="A7" i="2" s="1"/>
  <c r="E3" i="2"/>
  <c r="F3" i="2" s="1"/>
  <c r="A3" i="2" s="1"/>
  <c r="C30" i="1" l="1"/>
  <c r="E5" i="2"/>
  <c r="F5" i="2" s="1"/>
  <c r="A5" i="2" s="1"/>
</calcChain>
</file>

<file path=xl/sharedStrings.xml><?xml version="1.0" encoding="utf-8"?>
<sst xmlns="http://schemas.openxmlformats.org/spreadsheetml/2006/main" count="590" uniqueCount="485">
  <si>
    <t>Tiers</t>
  </si>
  <si>
    <t>Tier</t>
  </si>
  <si>
    <t>Bottom Level</t>
  </si>
  <si>
    <t>Top Level</t>
  </si>
  <si>
    <t>Normal Rarity Per Tier</t>
  </si>
  <si>
    <t>Uncommon</t>
  </si>
  <si>
    <t>Rarity</t>
  </si>
  <si>
    <t>Rare</t>
  </si>
  <si>
    <t>Very Rare</t>
  </si>
  <si>
    <t>Legendary</t>
  </si>
  <si>
    <t>Distribution Chances</t>
  </si>
  <si>
    <t>Step Above or Below Normal</t>
  </si>
  <si>
    <t>Skill Check Modifier</t>
  </si>
  <si>
    <t>Slot Modifier</t>
  </si>
  <si>
    <t>Top of Roll Range</t>
  </si>
  <si>
    <t>Bottom of roll range</t>
  </si>
  <si>
    <t>Odds</t>
  </si>
  <si>
    <t>Inventory</t>
  </si>
  <si>
    <t>Item</t>
  </si>
  <si>
    <t>Bought</t>
  </si>
  <si>
    <t>Inputs</t>
  </si>
  <si>
    <t>Base</t>
  </si>
  <si>
    <t>Combined Player Levels</t>
  </si>
  <si>
    <t>Number of Players</t>
  </si>
  <si>
    <t>Skill Check Roll (If Used)</t>
  </si>
  <si>
    <t>Village</t>
  </si>
  <si>
    <t>Town</t>
  </si>
  <si>
    <t>City</t>
  </si>
  <si>
    <t>Size</t>
  </si>
  <si>
    <t>Mechanics</t>
  </si>
  <si>
    <t>Number of Inventory Slots</t>
  </si>
  <si>
    <t xml:space="preserve">Magic Rarity Constant Higher = less magic items lower = more </t>
  </si>
  <si>
    <t>Use Skill Check 1 =yes 0=no</t>
  </si>
  <si>
    <t>APL</t>
  </si>
  <si>
    <t>Minor Common Items</t>
  </si>
  <si>
    <t>Armor of Gleaming (XGE136) Common 50gp</t>
  </si>
  <si>
    <t>Bead of Nourishment (XGE136) Common 50gp</t>
  </si>
  <si>
    <t>Bead of Refreshment (XGE136) Common 50gp</t>
  </si>
  <si>
    <t>Boots of False Tracks (XGE136) Common 50gp</t>
  </si>
  <si>
    <t>Candle of the Deep (XGE136) Common 50gp</t>
  </si>
  <si>
    <t>Cast-off Armor (XGE136) Common 50gp</t>
  </si>
  <si>
    <t>Charlatan's Die (XGE136) Common 50gp</t>
  </si>
  <si>
    <t>Cloak of Billowing (XGE136) Common 50gp</t>
  </si>
  <si>
    <t>Cloak of Many Fashions (XGE137) Common 50gp</t>
  </si>
  <si>
    <t>Clockwork Amulet (XGE137) Common 50gp</t>
  </si>
  <si>
    <t>Minor Uncommon Items</t>
  </si>
  <si>
    <t>Minor Rare Items</t>
  </si>
  <si>
    <t>Table Roll</t>
  </si>
  <si>
    <t>Item Roll</t>
  </si>
  <si>
    <t>Distribution Chances Roll Table</t>
  </si>
  <si>
    <t>Bottom of Roll</t>
  </si>
  <si>
    <t>Top of Roll</t>
  </si>
  <si>
    <t>Percentage Chance</t>
  </si>
  <si>
    <t>Rarity to Number Table</t>
  </si>
  <si>
    <t>Common</t>
  </si>
  <si>
    <t>Number</t>
  </si>
  <si>
    <t>Table Number</t>
  </si>
  <si>
    <t>Minor Very Rare Items</t>
  </si>
  <si>
    <t>Minor Legendary Items</t>
  </si>
  <si>
    <t>Major Uncommon Items</t>
  </si>
  <si>
    <t>Major Rare Items</t>
  </si>
  <si>
    <t>Major Very Rare Items</t>
  </si>
  <si>
    <t>Major Legendary Items</t>
  </si>
  <si>
    <t>Major or Minor</t>
  </si>
  <si>
    <t>Chance Step Modifier</t>
  </si>
  <si>
    <t>Chance modifier</t>
  </si>
  <si>
    <t>Percent Chance for Major Item</t>
  </si>
  <si>
    <t>Base Slots Table</t>
  </si>
  <si>
    <t>Hat of Wizardry (XGE137) Common 50gp</t>
  </si>
  <si>
    <t>Hat of Vermin (XGE137) Common 50gp</t>
  </si>
  <si>
    <t>Ersatz Eye (XGE137) Common 50gp</t>
  </si>
  <si>
    <t>Enduring Spellbook (XGE137) Common 50gp</t>
  </si>
  <si>
    <t>Ear Horn of Hearing (XGE137) Common 50gp</t>
  </si>
  <si>
    <t>Dread Helm (XGE137) Common 50gp</t>
  </si>
  <si>
    <t>Dark Shard Amulet (XGE137) Common 50gp</t>
  </si>
  <si>
    <t>Clothes of Mending (XGE137) Common 50gp</t>
  </si>
  <si>
    <t>Heward's Handy Spice Pouch (XGE137) Common 50gp</t>
  </si>
  <si>
    <t>Horn of Slient Alarm (XGE137) Common 50gp</t>
  </si>
  <si>
    <t>Instrument of Illusions (XGE137) Common 50gp</t>
  </si>
  <si>
    <t>Instrument of Scribing (XGE138) Common 50gp</t>
  </si>
  <si>
    <t>Lock of Trickery (XGE138) Common 50gp</t>
  </si>
  <si>
    <t>Moon-touched Sword (XGE138) Common 50gp</t>
  </si>
  <si>
    <t>Mystery Key (XGE138) Common 50gp</t>
  </si>
  <si>
    <t>Orb of Direction (XGE138) Common 50gp</t>
  </si>
  <si>
    <t>Orb of Time (XGE138) Common 50gp</t>
  </si>
  <si>
    <t>Perfume of Bewitching (XGE138) Common 50gp</t>
  </si>
  <si>
    <t>Pipe of Smoke Monsters (XGE138) Common 50gp</t>
  </si>
  <si>
    <t>Pole of Angling (XGE138) Common 50gp</t>
  </si>
  <si>
    <t>Pole of Collapsing (XGE138) Common 50gp</t>
  </si>
  <si>
    <t>Pot of Awakening (XGE138) Common 50gp</t>
  </si>
  <si>
    <t>Potion of Climbing (DMG187) Common 180gp</t>
  </si>
  <si>
    <t>Potion of Healing (DMG188) Common 50gp</t>
  </si>
  <si>
    <t>Rope of Mending (XGE138) Common 50gp</t>
  </si>
  <si>
    <t>Ruby of the War Mage (XGE138) Common 50gp</t>
  </si>
  <si>
    <t>Shield of Expression (XGE139) Common 50gp</t>
  </si>
  <si>
    <t>Smoldering Armor (XGE139) Common 50gp</t>
  </si>
  <si>
    <t>Spell Scroll Cantrip (DMG200) Common 10gp</t>
  </si>
  <si>
    <t>Spell Scroll 1st level (DMG200) Common 60gp</t>
  </si>
  <si>
    <t>Talking Doll (XGE139) Common 50gp</t>
  </si>
  <si>
    <t>Tankard of Sobriety (XGE139) Common 50gp</t>
  </si>
  <si>
    <t>Unbreakable Arrow (XGE139) Common 50gp</t>
  </si>
  <si>
    <t>Veteran's Cane (XGE139) Common 50gp</t>
  </si>
  <si>
    <t>Wand of Conducting (XGE140) Common 50gp</t>
  </si>
  <si>
    <t>Wand of Pyrotechnics (XGE140) Common 50gp</t>
  </si>
  <si>
    <t>Wand of Scowls (XGE140) Common 50gp</t>
  </si>
  <si>
    <t>Wand of Smiles (XGE140) Common 50gp</t>
  </si>
  <si>
    <t>Alchemy Jug (DMG150) Uncommon 6000gp</t>
  </si>
  <si>
    <t>Bag of Holding (DMG153) Uncommon 4000gp</t>
  </si>
  <si>
    <t>Cap of Water Breathing (DMG157) Uncommon 1000gp</t>
  </si>
  <si>
    <t>Cloak of the Manta Ray (DMG159) Uncommon 6000gp</t>
  </si>
  <si>
    <t>Driftglobe (DMG166) Uncommon 750gp</t>
  </si>
  <si>
    <t>Decanter of Endless Water (DMG161) Uncommon 135000gp</t>
  </si>
  <si>
    <t>Dust of Disappearance (DMG166) Uncommon 300gp</t>
  </si>
  <si>
    <t>Side Tables</t>
  </si>
  <si>
    <t>Dust of Dryness Pinches</t>
  </si>
  <si>
    <t>Dust of Sneezing and Choking (DMG166) Uncommon 480gp</t>
  </si>
  <si>
    <t>Elemental Gem Side Table</t>
  </si>
  <si>
    <t>Blue Sapphire [Air]</t>
  </si>
  <si>
    <t>Yellow Diamond [Earth]</t>
  </si>
  <si>
    <t>Red Corundum [Fire]</t>
  </si>
  <si>
    <t>Emerald [Water]</t>
  </si>
  <si>
    <t>Eyes of Minute Seeing (DMG168) Uncommon 2500gp</t>
  </si>
  <si>
    <t>Goggles of Night (DMG172) Uncommon 1500gp</t>
  </si>
  <si>
    <t>Helm of Comprehending Languages (DMG173) Uncommon 500gp</t>
  </si>
  <si>
    <t xml:space="preserve">Immovable Rod (DMG175) Uncommon 5000gp </t>
  </si>
  <si>
    <t>Keoghtom's Ointment (DMG179) Uncommon 120gp</t>
  </si>
  <si>
    <t>Lantern of Revealing (DMG179) Uncommon 5000gp</t>
  </si>
  <si>
    <t>Mariner's Armor (DMG181) Uncommon 1500gp</t>
  </si>
  <si>
    <t>Oil of Sharpness (DMG184) Vary Rare 3200gp</t>
  </si>
  <si>
    <t>Oil of Slipperiness (DMG184) Uncommon 480gp</t>
  </si>
  <si>
    <t>Periapt of Heath (DMG184) Uncommon 5000gp</t>
  </si>
  <si>
    <t>Philter of Love (DMG184) Uncommon 90gp</t>
  </si>
  <si>
    <t>Potion of Animal Friendship (DMG187) Uncommon 200gp</t>
  </si>
  <si>
    <t>Potion of Fire Breath (GMG187) Uncommon 150gp</t>
  </si>
  <si>
    <t>Potion of Greater Healing (DMG188) Uncommon 150gp</t>
  </si>
  <si>
    <t>Potion of Growth (DMG187) Uncommon 270gp</t>
  </si>
  <si>
    <t>Potion of hill giant strength (DMG187) Uncommon 500gp</t>
  </si>
  <si>
    <t>Potion of Poison (DMG188) Rare 100gp</t>
  </si>
  <si>
    <t>Resistance Side Table</t>
  </si>
  <si>
    <t>Acid</t>
  </si>
  <si>
    <t>Cold</t>
  </si>
  <si>
    <t>Fire</t>
  </si>
  <si>
    <t>Force</t>
  </si>
  <si>
    <t>Lightning</t>
  </si>
  <si>
    <t>Necrotic</t>
  </si>
  <si>
    <t>Poison</t>
  </si>
  <si>
    <t>Psychic</t>
  </si>
  <si>
    <t>Radiant</t>
  </si>
  <si>
    <t>Thunder</t>
  </si>
  <si>
    <t>Potion of Water Breathing (DMG188) Uncommon 180gp</t>
  </si>
  <si>
    <t>Ring of Swimming (DMG193) Uncommon 3000gp</t>
  </si>
  <si>
    <t>Robe of Useful Items Number of Items</t>
  </si>
  <si>
    <t>Rope of Climbing (DMG197) Uncommon 2000gp</t>
  </si>
  <si>
    <t>Saddle of the Cavalier (DMG199) Uncommon 2000gp</t>
  </si>
  <si>
    <t>Sending Stones (DMG199) Uncommon 2000gp</t>
  </si>
  <si>
    <t>Spell Scroll 2nd level (DMG200) Uncommon 120gp</t>
  </si>
  <si>
    <t>Spell Scroll 3rd Level (DMG200) Uncommon 200gp</t>
  </si>
  <si>
    <t>Wand of Magic Detection (DMG211) Uncommon 1500gp</t>
  </si>
  <si>
    <t>Wand of Secrets (DMG211) Uncommon 1500gp</t>
  </si>
  <si>
    <t>Bag of Beans (DMG152) Rare 5,000gp</t>
  </si>
  <si>
    <t>20 Walloping Ammunition (XGE139) Common 50gp</t>
  </si>
  <si>
    <t>20 Ammunition, +1 (DMG150) Uncommon 25Gp Each</t>
  </si>
  <si>
    <t>20 Ammunition +2 (DMG150) Rare 100gp Each</t>
  </si>
  <si>
    <t>Bead of Force (DMG154) Rare 960gp</t>
  </si>
  <si>
    <t>Chime of Opening (DMG158) Rare 1500gp</t>
  </si>
  <si>
    <t>Elixir of Health (DMG168) Rare 120gp</t>
  </si>
  <si>
    <t>Folding Boat (DMG170) Rare 2500gp</t>
  </si>
  <si>
    <t>Heward's Handy Haversack (DMG174) Rare 2000gp</t>
  </si>
  <si>
    <t>Horseshoes of Speed (DMG175) Rare 5,000gp</t>
  </si>
  <si>
    <t>Necklace of Fireballs number of Beads</t>
  </si>
  <si>
    <t>Oil of Etherealness (DMG183) Rare 1920gp</t>
  </si>
  <si>
    <t>Portable Hole (DMG185) Rare 8,000gp</t>
  </si>
  <si>
    <t>Potion of Clairvoyance (DMG187) Rare 960gp</t>
  </si>
  <si>
    <t>Potion of Diminution (DMG187) Rare 270gp</t>
  </si>
  <si>
    <t>Potion of Fire Giant Strength (DMG187) Rare 7,500gp</t>
  </si>
  <si>
    <t>Potion of Frost Giant Strength (DMG187) Rare 5,000gp</t>
  </si>
  <si>
    <t>Potion of Gaseous Form (DMG187) Rare 300gp</t>
  </si>
  <si>
    <t>Potion of Heroism (DMG188) Rare 180gp</t>
  </si>
  <si>
    <t>Potion of Invulnerability (DMG188) Rare 3840gp</t>
  </si>
  <si>
    <t>Potion of Mind Reading (DMG188) Rare 180gp</t>
  </si>
  <si>
    <t>Potion of Stone Giant Strength (DMG187) Rare 5,000gp</t>
  </si>
  <si>
    <t>Potion of Superior Healing (DMG188) Rare 450gp</t>
  </si>
  <si>
    <t>Quaal's Feather Token Side Table</t>
  </si>
  <si>
    <t>Anchor (DMG188) Rare 50gp</t>
  </si>
  <si>
    <t>Bird (DMG188) Rare 3000gp</t>
  </si>
  <si>
    <t>Fan (DMG188) Rare 250gp</t>
  </si>
  <si>
    <t>Swan Boat (DMG188) Rare 3000gp</t>
  </si>
  <si>
    <t>Tree (DMG188) Rare 50gp</t>
  </si>
  <si>
    <t>Whip (DMG188) Rare 250gp</t>
  </si>
  <si>
    <t>Scroll of Protection Side Table</t>
  </si>
  <si>
    <t>Aberrations</t>
  </si>
  <si>
    <t>Beasts</t>
  </si>
  <si>
    <t>Celestials</t>
  </si>
  <si>
    <t>Elementals</t>
  </si>
  <si>
    <t>Fey</t>
  </si>
  <si>
    <t>Fiends</t>
  </si>
  <si>
    <t>Plants</t>
  </si>
  <si>
    <t>Undead</t>
  </si>
  <si>
    <t>Spell Scroll 4th level (DMG200) Rare 320gp</t>
  </si>
  <si>
    <t>Spell Scroll 5th level (DMG200) Rare 640gp</t>
  </si>
  <si>
    <t>20 Ammunition +3 (DMG150) Vary Rare 400gp Each</t>
  </si>
  <si>
    <t>Arrow of Slaying (DMG152) Vary Rare 600gp</t>
  </si>
  <si>
    <t>Bag of Devouring (DMG153) Vary Rare 10,000gp</t>
  </si>
  <si>
    <t>Horseshoes of a Zephier (DMG175) Vary Rare 1500gp</t>
  </si>
  <si>
    <t>Nolzur's Marvelous Pigments (DMG183) Vary Rare 200gp</t>
  </si>
  <si>
    <t>Potion of Cloud Giant Strength (DMG188) Vary Rare 50,000gp</t>
  </si>
  <si>
    <t>Potion of Flying (DMG187) Vary Rare 500gp</t>
  </si>
  <si>
    <t>Potion of Invisibility (DMG188) Vary Rare 180gp</t>
  </si>
  <si>
    <t>Potion of Longevity (DMG188) Vary Rare 9000gp</t>
  </si>
  <si>
    <t>Potion of Speed (DMG188) Vary Rare 400gp</t>
  </si>
  <si>
    <t>Potion of Supreme Healing (DMG188)  Vary Rare 1350gp</t>
  </si>
  <si>
    <t>Potion of Vitality (DMG188) Vary Rare 960gp</t>
  </si>
  <si>
    <t>Spell Scroll 6th level (DMG200) Vary Rare 1280gp</t>
  </si>
  <si>
    <t>Spell Scroll 7th level (DMG200) Vary Rare 2560gp</t>
  </si>
  <si>
    <t>Spell Scroll 8th level (DMG200) Vary Rare 5120gp</t>
  </si>
  <si>
    <t>Potion of Storm Giant Strength (DMG187) Legendary 50,000gp</t>
  </si>
  <si>
    <t>Sovereign Glue (DMG200) Legendary 400gp</t>
  </si>
  <si>
    <t>Spell Scroll 9th level (DMG200) Legendary 10240gp</t>
  </si>
  <si>
    <t>Universal Solvent (DMG209) Legendary 300gp</t>
  </si>
  <si>
    <t>Adamantine Armor (DMG150) Uncommon 500gp</t>
  </si>
  <si>
    <t>Amulet of Proof Against Detection and Location (DMG150) Rare 20000gp</t>
  </si>
  <si>
    <t>Bag of Tricks Color</t>
  </si>
  <si>
    <t>Gray</t>
  </si>
  <si>
    <t>Rust</t>
  </si>
  <si>
    <t>Tan</t>
  </si>
  <si>
    <t>Boots of Elvenkind (DMG155) Uncommon 2500gp</t>
  </si>
  <si>
    <t>Boots of Striding and Springing (DMG156) Uncommon 5000gp</t>
  </si>
  <si>
    <t>Boots of the Winterlands (DMG156) Uncommon 10000gp</t>
  </si>
  <si>
    <t>Bracers of Archery (DMG156) Uncommon 1500gp</t>
  </si>
  <si>
    <t>Brooch of Shielding (DMG156) Uncommon 7500gp</t>
  </si>
  <si>
    <t>Broom of Flying (DMG156) Uncommon 8000gp</t>
  </si>
  <si>
    <t>Circlet of Blasting (DMG158) Uncommon 450gp</t>
  </si>
  <si>
    <t>Cloak of Elvenkind (DMG158) Uncommon 5000gp</t>
  </si>
  <si>
    <t>Cloak of Protection (DMG159) Uncommon 180gp</t>
  </si>
  <si>
    <t>Deck of Illusions (DMG1561 Uncommon 6120gp</t>
  </si>
  <si>
    <t>Eversmoking Bottle (DMG168) Uncommon 1000gp</t>
  </si>
  <si>
    <t>Eyes of Charming (DMG168) Uncommon 3000gp</t>
  </si>
  <si>
    <t>Eyes of the Eagle (DMG168) Uncommon 2500gp</t>
  </si>
  <si>
    <t>Figurine of Wondrous Power (Sliver Raven) (DMG168) Uncommon 5000gp</t>
  </si>
  <si>
    <t>Gauntlets of Ogre Power (DMG171) Uncommon 8000gp</t>
  </si>
  <si>
    <t>Gem of Brightness (DMG171) Uncommon 5000gp</t>
  </si>
  <si>
    <t>Gloves of Missile Snaring (DMG172) Uncommon 3000gp</t>
  </si>
  <si>
    <t>Gloves of Swimming and Climbing (DMG172) Uncommon 2000gp</t>
  </si>
  <si>
    <t>Gloves of Thievery (DMG172) Uncommon 5000gp</t>
  </si>
  <si>
    <t>Hat of Disguise (DMG173) Uncommon 5000gp</t>
  </si>
  <si>
    <t>Headband of Intellect (DMG173) Uncommon 8000gp</t>
  </si>
  <si>
    <t>Helm of Telepathy (DMG174) Uncommon 12000gp</t>
  </si>
  <si>
    <t>Instrument of the Bards (Doss Lute) (DMG1176) Uncommon 28500gp</t>
  </si>
  <si>
    <t>Instrument of the Bards (Fochlucan Bandore) (DMG1176) Uncommon 26500gp</t>
  </si>
  <si>
    <t>Instrument of the Bards (Mac-Fuimidh Cittern) (DMG1176) Uncommon 27000gp</t>
  </si>
  <si>
    <t>Javelin of Lightning (DMG178) Uncommon 1500gp</t>
  </si>
  <si>
    <t>Medallion of Thoughts (DMG181) Uncommon 3000gp</t>
  </si>
  <si>
    <t>Necklace of Adaptation (DMG182) Uncommon 1500gp</t>
  </si>
  <si>
    <t>Pearl of Power (DMG184) Uncommon 6000gp</t>
  </si>
  <si>
    <t>Periapt of Wound Closure (DMG184) Uncommon 5000gp</t>
  </si>
  <si>
    <t>Pipes of Haunting (DMG185) Uncommon 6000gp</t>
  </si>
  <si>
    <t>Pipes of the Sewers (DMG185) Uncommon 2000gp</t>
  </si>
  <si>
    <t>Quiver of Elonna (DMG189) Uncommon 1000gp</t>
  </si>
  <si>
    <t>Ring of Jumping (DMG191) Uncommon 2500gp</t>
  </si>
  <si>
    <t>Ring of Mind Shielding (DMG191) Uncommon 16000gp</t>
  </si>
  <si>
    <t>Ring of Warmth (DMG193) Uncommon 1000gp</t>
  </si>
  <si>
    <t>Ring of Water Walking (DMG193) Uncommon 1500gp</t>
  </si>
  <si>
    <t>Rod of the Pact Keeper +1 (DMG197) Uncommon 12000gp</t>
  </si>
  <si>
    <t>Sentinel Shield (DMG199) Uncommon 20000gp</t>
  </si>
  <si>
    <t>Shield +1 (DMG200) Uncommon 1500gp</t>
  </si>
  <si>
    <t>Slippers of Spider Climbing (DMG200) Uncommon 5000gp</t>
  </si>
  <si>
    <t>Staff of the Adder (DMG203) Uncommon 1800gp</t>
  </si>
  <si>
    <t>Staff of the Python (DMG204) Uncommon 2000gp</t>
  </si>
  <si>
    <t>Stone of Good Luck (DMG205) Uncommon 4200gp</t>
  </si>
  <si>
    <t>Sword of Vengeance (DMG206) Uncommon 500gp</t>
  </si>
  <si>
    <t>Trident of Fish Command (DMG209) Uncommon 800gp</t>
  </si>
  <si>
    <t>Wand of Magic Missiles (DMG211) Uncommon 8000gp</t>
  </si>
  <si>
    <t>Wand of the War Mage +1 (DMG212) Uncommon 1200gp</t>
  </si>
  <si>
    <t>Wand of Web (DMG212) Uncommon 8000gp</t>
  </si>
  <si>
    <t>Weapon of Warning (DMG213) Uncommon 60000gp</t>
  </si>
  <si>
    <t>Weapon +1 (DMG213) Uncommon 1000gp</t>
  </si>
  <si>
    <t>Wind Fan (DMG213) Uncommon 1500gp</t>
  </si>
  <si>
    <t>Winged Boots (DMG214) Uncommon 8000gp</t>
  </si>
  <si>
    <t>Amulet of Health (DMG150) Rare 8000gp</t>
  </si>
  <si>
    <t>Armor of Vulnerability (DMG152) Rare 9000gp</t>
  </si>
  <si>
    <t>Armor +1 (DMG152) Rare 1500gp</t>
  </si>
  <si>
    <t>Arrow-catching Shield (DMG152) Rare 6000gp</t>
  </si>
  <si>
    <t>Belt of Dwarven Kind (DMG155) Rare 6000gp</t>
  </si>
  <si>
    <t>Belt of Hill Giant Strength (DMG155) Rare 5000gp</t>
  </si>
  <si>
    <t>Berserker Axe (DMG155) Rare 500gp</t>
  </si>
  <si>
    <t>Boots of Levitation (DMG155) Rare 4000gp</t>
  </si>
  <si>
    <t>Boots of Speed (DMG155) Rare 400gp</t>
  </si>
  <si>
    <t>Bowl of Commanding Water Elementals (DMG156) Rare 8000gp</t>
  </si>
  <si>
    <t>Bracers of Defense (DMG156) Rare 6000gp</t>
  </si>
  <si>
    <t>Brazier of Commanding Fire Elementals (DMG156) Rare 8000gp</t>
  </si>
  <si>
    <t>Cape of the Mountebank (DMG157) Rare 8000gp</t>
  </si>
  <si>
    <t>Censer of Controlling Air Elementals (DMG157) Rare 8000gp</t>
  </si>
  <si>
    <t>Cloak of Displacement (DMG158) Rare 60000gp</t>
  </si>
  <si>
    <t>Cloak of the Bat (DMG159) Rare 6000gp</t>
  </si>
  <si>
    <t>Cube of Force (DMG159) Rare 16000gp</t>
  </si>
  <si>
    <t>Daern's Instant Fortress (DMG160) Rare 75000gp</t>
  </si>
  <si>
    <t>Dagger of Venom (DMG161) Rare 2500gp</t>
  </si>
  <si>
    <t>Dimensional Shackles (DMG165) Rare 3000gp</t>
  </si>
  <si>
    <t>Dragon Slayer (DMG166) Rare 8000gp</t>
  </si>
  <si>
    <t>Elven Chain (DMG168) Rare 4000gp</t>
  </si>
  <si>
    <t>Flame Tongue (DMG170) Rare 5000gp</t>
  </si>
  <si>
    <t>Gem of Seeing (DMG1172) Rare 32000gp</t>
  </si>
  <si>
    <t>Giant Slayer (DMG172) Rare 7000gp</t>
  </si>
  <si>
    <t>Glamoured Studded Leather (DMG172) Rare 2000gp</t>
  </si>
  <si>
    <t>Helm of Teleportation (DMG174) Rare 64000gp</t>
  </si>
  <si>
    <t>Horn of Blasting (DMG174) Rare 450gp</t>
  </si>
  <si>
    <t>Rare Horn of Valhalla</t>
  </si>
  <si>
    <t>Instrument of the Bards (Canaith Mandolin)  (DMG1176) Rare 30000gp</t>
  </si>
  <si>
    <t>Ioun Stone (Awareness) (DMG177) Rare 12000gp</t>
  </si>
  <si>
    <t>Ioun Stone (Protection) (DMG177) Rare 1200gp</t>
  </si>
  <si>
    <t>Ioun Stone (Reserve) (DMG177) Rare 6000gp</t>
  </si>
  <si>
    <t>Ioun Stone (Sustenance) (DMG177) Rare 1000gp</t>
  </si>
  <si>
    <t>Iron Bands of Bilarro (DMG177) Rare 4000gp</t>
  </si>
  <si>
    <t>Mace of Disruption (DMG179) Rare 8000gp</t>
  </si>
  <si>
    <t>Mace of Smiting (DMG179) Rare 7000gp</t>
  </si>
  <si>
    <t>Mace of Terror (DMG180) Rare 8000gp</t>
  </si>
  <si>
    <t>Mantle of Spell Resistance (DMG180) Rare 30000gp</t>
  </si>
  <si>
    <t>Prayer Bead Table</t>
  </si>
  <si>
    <t>Bead</t>
  </si>
  <si>
    <t>Cost</t>
  </si>
  <si>
    <t>Subtotal</t>
  </si>
  <si>
    <t>Bless</t>
  </si>
  <si>
    <t>Curing</t>
  </si>
  <si>
    <t>Favor</t>
  </si>
  <si>
    <t>Smiting</t>
  </si>
  <si>
    <t>Summons</t>
  </si>
  <si>
    <t>Wind Walking</t>
  </si>
  <si>
    <t>Total</t>
  </si>
  <si>
    <t>Periapt of Proof Against Poison (DMG184) Rare 5000gp</t>
  </si>
  <si>
    <t>Ring of Animal Influence (DMG189) Rare 4000gp</t>
  </si>
  <si>
    <t>Ring of Evasion (DMG191) Rare 5000gp</t>
  </si>
  <si>
    <t>Ring of Feather Falling (DMG191) Rare 2000gp</t>
  </si>
  <si>
    <t>Ring of Free Action (DMG191) Rare 20000gp</t>
  </si>
  <si>
    <t>Ring of Protection (DMG191) Rare 3500gp</t>
  </si>
  <si>
    <t>Ring of Spell Storing (DMG192) Rare 24000gp</t>
  </si>
  <si>
    <t>Ring of the Ram (DMG193) Rare 5000gp</t>
  </si>
  <si>
    <t>Ring of X-ray Vision (DMG193) Rare 6000gp</t>
  </si>
  <si>
    <t>Robe of Eyes (DMG193) Rare 30000gp</t>
  </si>
  <si>
    <r>
      <t xml:space="preserve">Necklace of Prayer Beads (DMG180) Rare </t>
    </r>
    <r>
      <rPr>
        <b/>
        <u/>
        <sz val="11"/>
        <color theme="1"/>
        <rFont val="Calibri"/>
        <family val="2"/>
        <scheme val="minor"/>
      </rPr>
      <t>Use Table</t>
    </r>
  </si>
  <si>
    <t>Rod of Rulership (DMG197) Rare 16000gp</t>
  </si>
  <si>
    <t>Rod of the Pact Keeper +2 (DMG197) Rare 16000gp</t>
  </si>
  <si>
    <t>Rope of Entanglement (DMG 197) Rare 4000gp</t>
  </si>
  <si>
    <t>Shield of Missile Attraction (DMG200) Rare 6000gp</t>
  </si>
  <si>
    <t>Shield +2 (DMG200) Rare 6000gp</t>
  </si>
  <si>
    <t>Staff of Healing (DMG202) Rare 13000gp</t>
  </si>
  <si>
    <t>Staff of Swarming Insects (DMG203) Rare 16000gp</t>
  </si>
  <si>
    <t>Staff of the Woodlands (DMG204) Rare 44000gp</t>
  </si>
  <si>
    <t>Staff of Withering (DMG205) Rare 3000gp</t>
  </si>
  <si>
    <t>Stone of Controlling Earth Elementals (DMG205) Rare 8000gp</t>
  </si>
  <si>
    <t>Sun Blade (DMG205) Rare 15000gp</t>
  </si>
  <si>
    <t>Sword of Life Stealing (DMG206) Rare 1000gp</t>
  </si>
  <si>
    <t>Sword of Wounding (DMG207) Rare 2000gp</t>
  </si>
  <si>
    <t>Tentacle Rod (DMG208) Rare 5000gp</t>
  </si>
  <si>
    <t>Vicious Weapon (DMG209) Rare 350gp</t>
  </si>
  <si>
    <t>Wand of Binding (DMG209) Rare 10000gp</t>
  </si>
  <si>
    <t>Wand of Enemy Detection (DMG210) Rare 4000gp</t>
  </si>
  <si>
    <t>Wand of Fear (DMG210) Rare 10000gp</t>
  </si>
  <si>
    <t>Wand of Fireballs (DMG210) 32000gp</t>
  </si>
  <si>
    <t>Wand of Lightning Bolts (DMG211) Rare 32000gp</t>
  </si>
  <si>
    <t>Wand of Paralysis (DMG211) Rare 16000gp</t>
  </si>
  <si>
    <t>Wand of the War Mage +2 (DMG212) Rare 4800gp</t>
  </si>
  <si>
    <t>Wand of Wonder (DMG211) Rare 5000gp</t>
  </si>
  <si>
    <t>Weapon +2 (DMG213) Rare 4000gp</t>
  </si>
  <si>
    <t>Wings of Flying (DMG214) Rare 5000gp</t>
  </si>
  <si>
    <t>Amulet of the Planes (DMG150) Very Rare 160000gp</t>
  </si>
  <si>
    <t>Animated Shield (DMG151) Very Rare 6000gp</t>
  </si>
  <si>
    <t>Belt of Fire Giant Strength (DMG155) Very Rare 75000gp</t>
  </si>
  <si>
    <t>Potion of Frost/Stone Giant Strength (DMG187) Rare 5,000gp</t>
  </si>
  <si>
    <t>Candle of Invocation (DMG157) Very Rare 50000gp</t>
  </si>
  <si>
    <t>Carpet of Flying (DMG157) Very Rare 12000gp</t>
  </si>
  <si>
    <t>Cloak of Arachnida (DMG158) Very Rare 5000gp</t>
  </si>
  <si>
    <r>
      <t xml:space="preserve">Crystal Ball (DMG159) </t>
    </r>
    <r>
      <rPr>
        <b/>
        <u/>
        <sz val="11"/>
        <color theme="1"/>
        <rFont val="Calibri"/>
        <family val="2"/>
        <scheme val="minor"/>
      </rPr>
      <t>Very Rare</t>
    </r>
    <r>
      <rPr>
        <sz val="11"/>
        <color theme="1"/>
        <rFont val="Calibri"/>
        <family val="2"/>
        <scheme val="minor"/>
      </rPr>
      <t xml:space="preserve"> 50000gp</t>
    </r>
  </si>
  <si>
    <t>Dancing Sword (DMG160) Very Rare 2000gp</t>
  </si>
  <si>
    <t>Demon Armor (DMG165) Very Rare 750gp</t>
  </si>
  <si>
    <t>Dragon Scale Mail (DGM165) Very Rare 4000gp</t>
  </si>
  <si>
    <t>Dwarven Plate (DMG167) Very Rare 9000gp</t>
  </si>
  <si>
    <t>Dwarven Thrower (DMG167) Very Rare 18000gp</t>
  </si>
  <si>
    <t>Efreeti Bottle (DMG167) Very Rare 50000gp</t>
  </si>
  <si>
    <t>Figurine of Wondrous Power (Obsidian Steed) (DMG170) Very Rare 128000gp</t>
  </si>
  <si>
    <t>Frost Brand (DGM171) Very Rare 2200gp</t>
  </si>
  <si>
    <t>Helm of Brilliance (DMG173) Very Rare 50000gp</t>
  </si>
  <si>
    <t>Horn of Valhalla (Bronze) (DMG175) Very Rare 11200gp</t>
  </si>
  <si>
    <t>Ioun Stone (Absorption) (DMG177) 2400gp</t>
  </si>
  <si>
    <t>Ioun Stone (Agility) (DMG177) 3000gp</t>
  </si>
  <si>
    <t>Ioun Stone (Fortitude) (DMG177) 3000gp</t>
  </si>
  <si>
    <t>Ioun Stone (Insight) (DMG177) 3000gp</t>
  </si>
  <si>
    <t>Ioun Stone (Intellect) (DMG177) 3000gp</t>
  </si>
  <si>
    <t>Ioun Stone (Leadership) (DGM177) 3000gp</t>
  </si>
  <si>
    <t>Ioun Stone (Strength) (DMG177) 3000gp</t>
  </si>
  <si>
    <t>Manual of Bodily Health (DMG180) Very Rare 50000gp</t>
  </si>
  <si>
    <t>Manual of Gainful Exercise (DMG180) Very Rare 50000gp</t>
  </si>
  <si>
    <t>Manual of Golems (DMG180) Very Rare 50000gp</t>
  </si>
  <si>
    <t>Manual of Quickness of Action (DMG180) Very Rare 50000gp</t>
  </si>
  <si>
    <t>Mirror of Life Trapping (DMG181) Very Rare 18000gp</t>
  </si>
  <si>
    <t>Nine Lives Stealer (DMG183) Very Rare 8000gp</t>
  </si>
  <si>
    <t>Oathbow (DMG183) Very Rare 3500gp</t>
  </si>
  <si>
    <t>Ring of Regeneration (DMG177) Legendary 4000gp</t>
  </si>
  <si>
    <t>Ring of Shooting Stars (DMG192) Very Rare 14000gp</t>
  </si>
  <si>
    <t>Ring of Telekinesis (DMG193) Very Rare 80000gp</t>
  </si>
  <si>
    <t>Robe of Scintillating Colors (DMG194) Very Rare 6000gp</t>
  </si>
  <si>
    <t>Rod of Absorption (DMG195) Very Rare 50000gp</t>
  </si>
  <si>
    <t>Rod of Alertness (DMG195) Very Rare 25000gp</t>
  </si>
  <si>
    <t>Rod of Security (DMG197) Very Rare 90000gp</t>
  </si>
  <si>
    <t>Rod of the Pact Keeper +3 (DMG197) Very Rare 28000gp</t>
  </si>
  <si>
    <t>Scimitar of Speed (DMG199) Very Rare 6000gp</t>
  </si>
  <si>
    <t>Shield +3 (DMG200) Very Rare 24000gp</t>
  </si>
  <si>
    <t>Staff of Fire (DMG201) Very Rare 16000gp</t>
  </si>
  <si>
    <t>Staff of Frost (DMG201) Very Rare 26000gp</t>
  </si>
  <si>
    <t>Staff of Power (DMG202) Very Rare 95500gp</t>
  </si>
  <si>
    <t>Staff of Striking (DMG203) Very Rare 21000gp</t>
  </si>
  <si>
    <t>Staff of Thunder and Lightning (DMG204) Very Rare 10000gp</t>
  </si>
  <si>
    <t>Sword of Sharpness (DMG206) Very Rare 1700gp</t>
  </si>
  <si>
    <t>Tome of Clear Thought (DMG208) Very Rare 50000gp</t>
  </si>
  <si>
    <t>Tome of Leadership and Influence Very Rare 50000gp</t>
  </si>
  <si>
    <t>Tome of Understanding Very Rare 50000gp</t>
  </si>
  <si>
    <t>Wand of Polymorph (DMG211) Very Rare 32000gp</t>
  </si>
  <si>
    <t>Wand of the War Mage +3 (DMG212) Very Rare 19200gp</t>
  </si>
  <si>
    <t>Apparatus of Kwalish (DMG151) Legendary 10000gp</t>
  </si>
  <si>
    <t>Armor of Invulnerability (DMG152) Legendary 18000gp</t>
  </si>
  <si>
    <t>Armor +3 (DMG152) Legendary 24000gp</t>
  </si>
  <si>
    <t>Belt of Cloud Giant Strength (DMG155) Legendary 100000gp</t>
  </si>
  <si>
    <t>Belt of Storm Giant Strength (DMG155) Legendary 100000gp</t>
  </si>
  <si>
    <t>Cloak of Invisibility (DMG158) Legendary 80000gp</t>
  </si>
  <si>
    <r>
      <t xml:space="preserve">Crystal Ball (DMG159) </t>
    </r>
    <r>
      <rPr>
        <b/>
        <u/>
        <sz val="11"/>
        <color theme="1"/>
        <rFont val="Calibri"/>
        <family val="2"/>
        <scheme val="minor"/>
      </rPr>
      <t>Legendary</t>
    </r>
    <r>
      <rPr>
        <sz val="11"/>
        <color theme="1"/>
        <rFont val="Calibri"/>
        <family val="2"/>
        <scheme val="minor"/>
      </rPr>
      <t xml:space="preserve"> 100000GP</t>
    </r>
  </si>
  <si>
    <t>Cubic Gate (DMG160) Legendary 40000gp</t>
  </si>
  <si>
    <t>Deck of Many Things (DMG162) Legendary 100000gp</t>
  </si>
  <si>
    <t>Defender (DMG164) Legendary 24000gp</t>
  </si>
  <si>
    <t>Efreeti Chain (DMG167) Legendary 20000gp</t>
  </si>
  <si>
    <t>Hammer of Thunderbolts (DMG173) Legendary 16000gp</t>
  </si>
  <si>
    <t>Holy Avenger (DMG174) Legendary 165000gp</t>
  </si>
  <si>
    <t>Horn of Valhalla (Iron) (DMG175) Legendary 14000gp</t>
  </si>
  <si>
    <t>Instrument of the Bards (Ollamh Harp)  (DMG1176) Legendary 125000gp</t>
  </si>
  <si>
    <t>Ioun Sone (Greater Absorption) (DMG177) Legendary 31000gp</t>
  </si>
  <si>
    <t>Ioun Stone (Mastery) (DMG177) Legendary 15000gp</t>
  </si>
  <si>
    <t>Ioun Stone (Regeneration) (DMG177) Legendary 4000gp</t>
  </si>
  <si>
    <t>Iron Flask (DMG178) Legendary 100000gp</t>
  </si>
  <si>
    <t>Luck Blade (DMG179) Legendary 100000gp</t>
  </si>
  <si>
    <t>Plate Armor of Etherealness (DMG185) Legendary 48000gp</t>
  </si>
  <si>
    <t>Ring of Air Elemental Command (DMG190) Legendary 35000gp</t>
  </si>
  <si>
    <t>Ring of Djinni Summoning  (DMG190) Legendary 100000gp</t>
  </si>
  <si>
    <t>Ring of Earth Elemental Command (DMG190) Legendary 31000gp</t>
  </si>
  <si>
    <t>Ring of Fire Elemental Command (DMG190) Legendary 17000gp</t>
  </si>
  <si>
    <t>Ring of Invisibility (DGM191) Legendary 10000gp</t>
  </si>
  <si>
    <t>Ring of Spell Turning (DMG193) Legendary 30000gp</t>
  </si>
  <si>
    <t>Ring of Three Wishes (DMG193) Legendary 100000gp</t>
  </si>
  <si>
    <t>Ring of Water Elemental Command (DMG190) Legendary 31000gp</t>
  </si>
  <si>
    <t>Robe of the Archmagi (DMG194) Legendary 34000gp</t>
  </si>
  <si>
    <t>Rod of Lordly Might (DMG195) Legendary 28000gp</t>
  </si>
  <si>
    <t>Rod of Resurrection (DMG197) Legendary 100000gp</t>
  </si>
  <si>
    <t>Scarab of Protection (DMG199) Legendary 36000gp</t>
  </si>
  <si>
    <t>Sphere of Annihilation (DMG201) Legendary 15000gp</t>
  </si>
  <si>
    <t>Staff of the Magi (DMG203) Legendary 100000gp</t>
  </si>
  <si>
    <t>Sword of Answering (DMG206) Legendary 36000gp</t>
  </si>
  <si>
    <t>Talisman of Pure Good (DMG207) Legendary 71680gp</t>
  </si>
  <si>
    <t>Talisman of the Sphere (DMG207) Legendary 20000gp</t>
  </si>
  <si>
    <t>Talisman of Ultimate Evil (DMG207) Legendary 61440gp</t>
  </si>
  <si>
    <t>Tome of the Stilled Tongue Legendary 100000gp</t>
  </si>
  <si>
    <t>Vorpal Sword (DMG209) Legendary 24000gp</t>
  </si>
  <si>
    <t>Well of Many Worlds (DMG213) Legendary 100000gp</t>
  </si>
  <si>
    <t>Always In Stock</t>
  </si>
  <si>
    <t>Spell Casting Services</t>
  </si>
  <si>
    <t>Cure Wounds 10gp</t>
  </si>
  <si>
    <t>Identify 20gp</t>
  </si>
  <si>
    <t>Prayer of Healing 40gp</t>
  </si>
  <si>
    <t>Dispel Magic 90gp</t>
  </si>
  <si>
    <t>Remove Curse 90gp</t>
  </si>
  <si>
    <t>Speak with Dead 90gp</t>
  </si>
  <si>
    <t>Divination 210gp</t>
  </si>
  <si>
    <t>Raise Dead 1000gp</t>
  </si>
  <si>
    <t>Resurrection 3000gp</t>
  </si>
  <si>
    <t>True Resurrection 30000gp</t>
  </si>
  <si>
    <t>Greater Restoration 450gp</t>
  </si>
  <si>
    <t>Weapon +3 (DMG213) Very Rare 16000gp</t>
  </si>
  <si>
    <t>Lesser Restoration 40gp</t>
  </si>
  <si>
    <t>Left Blank Intentionally</t>
  </si>
  <si>
    <t>Instrument of the Bards (Anstruth Harp)  (DMG1176) Very Rare 109000gp</t>
  </si>
  <si>
    <t>Figure of Wondrous Power (Bronze Griffon) (DMG169) Rare 8000gp</t>
  </si>
  <si>
    <t>Figure of Wondrous Power (Ebony Fly) (DMG169) Rare 6000gp</t>
  </si>
  <si>
    <t>Figure of Wondrous Power (Golden Lions) (DMG169) Rare 600gp</t>
  </si>
  <si>
    <t>Figure of Wondrous Power (Ivory Goats) (DMG169) Rare 1000gp</t>
  </si>
  <si>
    <t>Figure of Wondrous Power (Marble Elephant) (DMG169) Rare 6000gp</t>
  </si>
  <si>
    <t>Figure of Wondrous Power (Onyx Dog) (DMG169) Rare 3000gp</t>
  </si>
  <si>
    <t>Figure of Wondrous Power (Serpentine Owl) (DMG169) Rare 8000gp</t>
  </si>
  <si>
    <t>Spellguard Shield (DMG201) Very Rare 50000gp</t>
  </si>
  <si>
    <t>Armor +2 (DMG152) Very Rare 6000gp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</si>
</sst>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8">
    <xf numFmtId="0" fontId="0" fillId="0" borderId="0" xfId="0"/>
    <xf numFmtId="0" fontId="0" fillId="0" borderId="4" xfId="0" applyBorder="1"/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0" borderId="6" xfId="0" applyFont="1" applyBorder="1"/>
    <xf numFmtId="0" fontId="0" fillId="0" borderId="7" xfId="0" applyFont="1" applyBorder="1"/>
    <xf numFmtId="0" fontId="0" fillId="0" borderId="10" xfId="0" applyBorder="1"/>
    <xf numFmtId="0" fontId="0" fillId="0" borderId="11" xfId="0" applyBorder="1"/>
    <xf numFmtId="0" fontId="0" fillId="2" borderId="0" xfId="0" applyFill="1"/>
    <xf numFmtId="0" fontId="0" fillId="0" borderId="1" xfId="0" applyBorder="1" applyProtection="1">
      <protection locked="0"/>
    </xf>
    <xf numFmtId="0" fontId="0" fillId="2" borderId="0" xfId="0" applyFill="1" applyProtection="1"/>
    <xf numFmtId="0" fontId="0" fillId="0" borderId="1" xfId="0" applyBorder="1" applyAlignment="1" applyProtection="1">
      <alignment wrapText="1"/>
    </xf>
    <xf numFmtId="0" fontId="0" fillId="0" borderId="2" xfId="0" applyBorder="1" applyProtection="1"/>
    <xf numFmtId="0" fontId="0" fillId="2" borderId="5" xfId="0" applyFill="1" applyBorder="1" applyProtection="1"/>
    <xf numFmtId="0" fontId="0" fillId="2" borderId="0" xfId="0" applyFill="1" applyBorder="1" applyProtection="1"/>
    <xf numFmtId="0" fontId="0" fillId="0" borderId="0" xfId="0" applyProtection="1"/>
    <xf numFmtId="0" fontId="0" fillId="0" borderId="1" xfId="0" applyBorder="1" applyProtection="1"/>
    <xf numFmtId="0" fontId="0" fillId="2" borderId="5" xfId="0" applyFill="1" applyBorder="1" applyAlignment="1" applyProtection="1"/>
    <xf numFmtId="0" fontId="0" fillId="0" borderId="12" xfId="0" applyBorder="1" applyProtection="1"/>
    <xf numFmtId="0" fontId="0" fillId="0" borderId="7" xfId="0" applyBorder="1" applyProtection="1"/>
    <xf numFmtId="0" fontId="0" fillId="0" borderId="8" xfId="0" applyBorder="1" applyProtection="1"/>
    <xf numFmtId="0" fontId="0" fillId="0" borderId="7" xfId="0" applyNumberFormat="1" applyBorder="1" applyProtection="1"/>
    <xf numFmtId="0" fontId="0" fillId="0" borderId="2" xfId="0" applyNumberFormat="1" applyBorder="1" applyProtection="1"/>
    <xf numFmtId="0" fontId="0" fillId="0" borderId="8" xfId="0" applyNumberFormat="1" applyBorder="1" applyProtection="1"/>
    <xf numFmtId="0" fontId="0" fillId="0" borderId="2" xfId="0" applyBorder="1" applyProtection="1">
      <protection locked="0"/>
    </xf>
    <xf numFmtId="0" fontId="0" fillId="0" borderId="0" xfId="0" applyProtection="1">
      <protection locked="0"/>
    </xf>
    <xf numFmtId="0" fontId="0" fillId="0" borderId="11" xfId="0" applyBorder="1" applyProtection="1">
      <protection locked="0"/>
    </xf>
    <xf numFmtId="0" fontId="0" fillId="2" borderId="0" xfId="0" applyFill="1" applyBorder="1" applyAlignment="1"/>
    <xf numFmtId="0" fontId="0" fillId="2" borderId="0" xfId="0" applyFill="1" applyProtection="1">
      <protection locked="0"/>
    </xf>
    <xf numFmtId="0" fontId="0" fillId="0" borderId="11" xfId="0" applyBorder="1" applyProtection="1"/>
    <xf numFmtId="0" fontId="0" fillId="0" borderId="10" xfId="0" applyBorder="1" applyProtection="1"/>
    <xf numFmtId="0" fontId="0" fillId="0" borderId="16" xfId="0" applyFont="1" applyBorder="1" applyAlignment="1"/>
    <xf numFmtId="0" fontId="3" fillId="0" borderId="16" xfId="0" applyFont="1" applyBorder="1" applyAlignment="1"/>
    <xf numFmtId="0" fontId="3" fillId="0" borderId="16" xfId="0" applyFont="1" applyBorder="1"/>
    <xf numFmtId="0" fontId="0" fillId="2" borderId="1" xfId="0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0" borderId="0" xfId="0" applyFill="1" applyProtection="1"/>
    <xf numFmtId="0" fontId="0" fillId="0" borderId="0" xfId="0" applyFill="1" applyProtection="1">
      <protection locked="0"/>
    </xf>
    <xf numFmtId="0" fontId="0" fillId="2" borderId="0" xfId="0" applyFill="1" applyAlignment="1"/>
    <xf numFmtId="0" fontId="0" fillId="2" borderId="10" xfId="0" applyFill="1" applyBorder="1" applyAlignment="1"/>
    <xf numFmtId="0" fontId="0" fillId="2" borderId="1" xfId="0" applyFill="1" applyBorder="1" applyAlignment="1"/>
    <xf numFmtId="0" fontId="3" fillId="0" borderId="16" xfId="0" applyFont="1" applyBorder="1" applyAlignment="1" applyProtection="1">
      <protection locked="0"/>
    </xf>
    <xf numFmtId="0" fontId="0" fillId="2" borderId="0" xfId="0" applyFill="1"/>
    <xf numFmtId="0" fontId="0" fillId="5" borderId="1" xfId="0" applyFill="1" applyBorder="1"/>
    <xf numFmtId="0" fontId="0" fillId="0" borderId="1" xfId="0" applyFill="1" applyBorder="1"/>
    <xf numFmtId="0" fontId="0" fillId="3" borderId="26" xfId="0" applyFont="1" applyFill="1" applyBorder="1"/>
    <xf numFmtId="0" fontId="0" fillId="3" borderId="3" xfId="0" applyFont="1" applyFill="1" applyBorder="1"/>
    <xf numFmtId="0" fontId="0" fillId="3" borderId="27" xfId="0" applyFont="1" applyFill="1" applyBorder="1"/>
    <xf numFmtId="0" fontId="0" fillId="0" borderId="28" xfId="0" applyFont="1" applyFill="1" applyBorder="1"/>
    <xf numFmtId="0" fontId="0" fillId="0" borderId="29" xfId="0" applyFont="1" applyFill="1" applyBorder="1"/>
    <xf numFmtId="0" fontId="0" fillId="0" borderId="30" xfId="0" applyFont="1" applyFill="1" applyBorder="1"/>
    <xf numFmtId="0" fontId="0" fillId="4" borderId="26" xfId="0" applyFill="1" applyBorder="1"/>
    <xf numFmtId="0" fontId="0" fillId="4" borderId="3" xfId="0" applyFill="1" applyBorder="1"/>
    <xf numFmtId="0" fontId="0" fillId="4" borderId="27" xfId="0" applyFill="1" applyBorder="1"/>
    <xf numFmtId="0" fontId="0" fillId="0" borderId="28" xfId="0" applyFill="1" applyBorder="1"/>
    <xf numFmtId="0" fontId="0" fillId="0" borderId="29" xfId="0" applyFill="1" applyBorder="1"/>
    <xf numFmtId="0" fontId="0" fillId="0" borderId="30" xfId="0" applyFill="1" applyBorder="1"/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0" borderId="26" xfId="0" applyFill="1" applyBorder="1"/>
    <xf numFmtId="0" fontId="0" fillId="0" borderId="3" xfId="0" applyFill="1" applyBorder="1"/>
    <xf numFmtId="0" fontId="0" fillId="0" borderId="27" xfId="0" applyFill="1" applyBorder="1"/>
    <xf numFmtId="0" fontId="0" fillId="4" borderId="28" xfId="0" applyFill="1" applyBorder="1"/>
    <xf numFmtId="0" fontId="0" fillId="4" borderId="29" xfId="0" applyFill="1" applyBorder="1"/>
    <xf numFmtId="0" fontId="0" fillId="4" borderId="30" xfId="0" applyFill="1" applyBorder="1"/>
    <xf numFmtId="0" fontId="0" fillId="0" borderId="23" xfId="0" applyFont="1" applyFill="1" applyBorder="1"/>
    <xf numFmtId="0" fontId="0" fillId="0" borderId="24" xfId="0" applyFont="1" applyFill="1" applyBorder="1"/>
    <xf numFmtId="0" fontId="0" fillId="0" borderId="25" xfId="0" applyFont="1" applyFill="1" applyBorder="1"/>
    <xf numFmtId="0" fontId="0" fillId="0" borderId="20" xfId="0" applyFill="1" applyBorder="1"/>
    <xf numFmtId="0" fontId="0" fillId="0" borderId="22" xfId="0" applyFill="1" applyBorder="1"/>
    <xf numFmtId="0" fontId="0" fillId="0" borderId="21" xfId="0" applyFill="1" applyBorder="1"/>
    <xf numFmtId="0" fontId="0" fillId="0" borderId="20" xfId="0" applyFont="1" applyFill="1" applyBorder="1" applyAlignment="1">
      <alignment horizontal="center"/>
    </xf>
    <xf numFmtId="0" fontId="0" fillId="0" borderId="22" xfId="0" applyFont="1" applyFill="1" applyBorder="1" applyAlignment="1">
      <alignment horizontal="center"/>
    </xf>
    <xf numFmtId="0" fontId="0" fillId="0" borderId="21" xfId="0" applyFont="1" applyFill="1" applyBorder="1" applyAlignment="1">
      <alignment horizontal="center"/>
    </xf>
    <xf numFmtId="0" fontId="0" fillId="4" borderId="20" xfId="0" applyFill="1" applyBorder="1"/>
    <xf numFmtId="0" fontId="0" fillId="4" borderId="22" xfId="0" applyFill="1" applyBorder="1"/>
    <xf numFmtId="0" fontId="0" fillId="4" borderId="21" xfId="0" applyFill="1" applyBorder="1"/>
    <xf numFmtId="0" fontId="0" fillId="0" borderId="26" xfId="0" applyFont="1" applyFill="1" applyBorder="1"/>
    <xf numFmtId="0" fontId="0" fillId="0" borderId="3" xfId="0" applyFont="1" applyFill="1" applyBorder="1"/>
    <xf numFmtId="0" fontId="0" fillId="0" borderId="27" xfId="0" applyFont="1" applyFill="1" applyBorder="1"/>
    <xf numFmtId="0" fontId="0" fillId="3" borderId="28" xfId="0" applyFont="1" applyFill="1" applyBorder="1"/>
    <xf numFmtId="0" fontId="0" fillId="3" borderId="29" xfId="0" applyFont="1" applyFill="1" applyBorder="1"/>
    <xf numFmtId="0" fontId="0" fillId="3" borderId="30" xfId="0" applyFont="1" applyFill="1" applyBorder="1"/>
    <xf numFmtId="0" fontId="2" fillId="0" borderId="17" xfId="0" applyFont="1" applyBorder="1" applyAlignment="1">
      <alignment horizontal="right"/>
    </xf>
    <xf numFmtId="0" fontId="3" fillId="0" borderId="18" xfId="0" applyFont="1" applyBorder="1"/>
    <xf numFmtId="0" fontId="3" fillId="0" borderId="19" xfId="0" applyFont="1" applyBorder="1"/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4" borderId="28" xfId="0" applyFont="1" applyFill="1" applyBorder="1"/>
    <xf numFmtId="0" fontId="0" fillId="4" borderId="29" xfId="0" applyFont="1" applyFill="1" applyBorder="1"/>
    <xf numFmtId="0" fontId="0" fillId="4" borderId="30" xfId="0" applyFont="1" applyFill="1" applyBorder="1"/>
    <xf numFmtId="0" fontId="0" fillId="4" borderId="26" xfId="0" applyFont="1" applyFill="1" applyBorder="1"/>
    <xf numFmtId="0" fontId="0" fillId="4" borderId="3" xfId="0" applyFont="1" applyFill="1" applyBorder="1"/>
    <xf numFmtId="0" fontId="0" fillId="4" borderId="27" xfId="0" applyFont="1" applyFill="1" applyBorder="1"/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3" xfId="0" applyFill="1" applyBorder="1"/>
    <xf numFmtId="0" fontId="0" fillId="0" borderId="24" xfId="0" applyFill="1" applyBorder="1"/>
    <xf numFmtId="0" fontId="0" fillId="0" borderId="25" xfId="0" applyFill="1" applyBorder="1"/>
    <xf numFmtId="0" fontId="0" fillId="0" borderId="10" xfId="0" applyFill="1" applyBorder="1"/>
    <xf numFmtId="0" fontId="0" fillId="0" borderId="1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11" xfId="0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0" fillId="0" borderId="1" xfId="0" applyBorder="1" applyProtection="1"/>
    <xf numFmtId="0" fontId="0" fillId="0" borderId="11" xfId="0" applyBorder="1" applyProtection="1"/>
    <xf numFmtId="0" fontId="0" fillId="0" borderId="10" xfId="0" applyBorder="1" applyProtection="1"/>
    <xf numFmtId="0" fontId="0" fillId="0" borderId="10" xfId="0" applyBorder="1" applyAlignment="1" applyProtection="1"/>
    <xf numFmtId="0" fontId="0" fillId="0" borderId="1" xfId="0" applyBorder="1" applyAlignment="1" applyProtection="1"/>
    <xf numFmtId="0" fontId="0" fillId="0" borderId="11" xfId="0" applyBorder="1" applyAlignment="1" applyProtection="1"/>
  </cellXfs>
  <cellStyles count="1">
    <cellStyle name="Normal" xfId="0" builtinId="0"/>
  </cellStyles>
  <dxfs count="73"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protection locked="0" hidden="0"/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protection locked="0" hidden="0"/>
    </dxf>
    <dxf>
      <protection locked="0" hidden="0"/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protection locked="0" hidden="0"/>
    </dxf>
    <dxf>
      <protection locked="0" hidden="0"/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protection locked="0" hidden="0"/>
    </dxf>
    <dxf>
      <protection locked="0" hidden="0"/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protection locked="0" hidden="0"/>
    </dxf>
    <dxf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protection locked="0" hidden="0"/>
    </dxf>
    <dxf>
      <protection locked="0" hidden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protection locked="1" hidden="0"/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rgb="FFE2EFD9"/>
          <bgColor rgb="FFE2EFD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rgb="FFE2EFD9"/>
          <bgColor rgb="FFE2EFD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rgb="FFE2EFD9"/>
          <bgColor rgb="FFE2EFD9"/>
        </patternFill>
      </fill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</a:t>
            </a:r>
            <a:r>
              <a:rPr lang="en-US" baseline="0"/>
              <a:t> Chance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Settings!$B$17</c:f>
              <c:strCache>
                <c:ptCount val="1"/>
                <c:pt idx="0">
                  <c:v>Chance modifier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Settings!$A$18:$A$22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cat>
          <c:val>
            <c:numRef>
              <c:f>Settings!$B$18:$B$22</c:f>
              <c:numCache>
                <c:formatCode>General</c:formatCode>
                <c:ptCount val="5"/>
                <c:pt idx="0">
                  <c:v>8</c:v>
                </c:pt>
                <c:pt idx="1">
                  <c:v>20</c:v>
                </c:pt>
                <c:pt idx="2">
                  <c:v>50</c:v>
                </c:pt>
                <c:pt idx="3">
                  <c:v>20</c:v>
                </c:pt>
                <c:pt idx="4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7A-4AA5-9E6E-268E100DF14A}"/>
            </c:ext>
          </c:extLst>
        </c:ser>
        <c:ser>
          <c:idx val="1"/>
          <c:order val="1"/>
          <c:tx>
            <c:strRef>
              <c:f>Settings!$C$17</c:f>
              <c:strCache>
                <c:ptCount val="1"/>
                <c:pt idx="0">
                  <c:v>Percentage Chance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Settings!$A$18:$A$22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cat>
          <c:val>
            <c:numRef>
              <c:f>Settings!#REF!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C1-4DB8-8978-D8F13E0DE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9868976"/>
        <c:axId val="529862088"/>
      </c:lineChart>
      <c:catAx>
        <c:axId val="52986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62088"/>
        <c:crosses val="autoZero"/>
        <c:auto val="1"/>
        <c:lblAlgn val="ctr"/>
        <c:lblOffset val="100"/>
        <c:noMultiLvlLbl val="0"/>
      </c:catAx>
      <c:valAx>
        <c:axId val="52986208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986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0</xdr:rowOff>
        </xdr:from>
        <xdr:to>
          <xdr:col>9</xdr:col>
          <xdr:colOff>0</xdr:colOff>
          <xdr:row>8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</xdr:colOff>
      <xdr:row>16</xdr:row>
      <xdr:rowOff>66675</xdr:rowOff>
    </xdr:from>
    <xdr:to>
      <xdr:col>7</xdr:col>
      <xdr:colOff>114300</xdr:colOff>
      <xdr:row>27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16FB0B0-AE00-446A-9444-BE62ED91CFA3}" name="Table8" displayName="Table8" ref="A2:F100" totalsRowShown="0" headerRowDxfId="72" headerRowBorderDxfId="71" tableBorderDxfId="70" totalsRowBorderDxfId="69">
  <autoFilter ref="A2:F100" xr:uid="{08806FBB-039F-41E7-8B19-76EE7FFF4A94}"/>
  <tableColumns count="6">
    <tableColumn id="1" xr3:uid="{A8896237-5F15-4FD3-8EC2-BE018C366301}" name="Item" dataDxfId="68">
      <calculatedColumnFormula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calculatedColumnFormula>
    </tableColumn>
    <tableColumn id="4" xr3:uid="{D5AC0244-C087-42BE-883D-CAAD03D2169C}" name="Bought" dataDxfId="67"/>
    <tableColumn id="3" xr3:uid="{5B2F8E6E-FCF3-4FD0-AD06-28083EDE907C}" name="Table Roll" dataDxfId="66">
      <calculatedColumnFormula>IF((ROW()-2)&gt;Number_of_Inventory_Slots," ",RANDBETWEEN(1,100))</calculatedColumnFormula>
    </tableColumn>
    <tableColumn id="6" xr3:uid="{870106D4-A927-48AB-AFF9-943248D4AEA4}" name="Major or Minor" dataDxfId="65">
      <calculatedColumnFormula>IF((ROW()-2)&gt;Number_of_Inventory_Slots," ",IF(RANDBETWEEN(1,100)&gt;Chance_for_Major_Item,"Minor","Major"))</calculatedColumnFormula>
    </tableColumn>
    <tableColumn id="5" xr3:uid="{19E576B8-0976-4CA7-8969-A8BF7137C431}" name="Table Number" dataDxfId="64">
      <calculatedColumnFormula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calculatedColumnFormula>
    </tableColumn>
    <tableColumn id="2" xr3:uid="{AFE44430-E254-4865-990F-3C42E60FC017}" name="Item Roll" dataDxfId="63">
      <calculatedColumnFormula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AE0F44D-0229-4D32-B898-7FF18276CAD6}" name="Table9" displayName="Table9" ref="K2:L5" totalsRowShown="0" headerRowDxfId="62" dataDxfId="60" headerRowBorderDxfId="61" tableBorderDxfId="59" totalsRowBorderDxfId="58">
  <autoFilter ref="K2:L5" xr:uid="{3A21245D-35E6-4147-8BD1-C43E8D1E2D22}"/>
  <tableColumns count="2">
    <tableColumn id="1" xr3:uid="{48993349-937D-4C41-A58B-33C03EB1AAEA}" name="Size" dataDxfId="57"/>
    <tableColumn id="2" xr3:uid="{C84D712F-E8DB-496B-A5B5-FED95EF079CD}" name="Base" dataDxfId="56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1611E3-8A0C-43FF-BC1E-BBE2DA38F91C}" name="Tires" displayName="Tires" ref="A2:C6" totalsRowShown="0" headerRowDxfId="55" dataDxfId="54">
  <autoFilter ref="A2:C6" xr:uid="{630D071D-DD33-4850-96AC-6FD1E5F876EA}"/>
  <tableColumns count="3">
    <tableColumn id="1" xr3:uid="{F15B685D-12EF-43E9-9A3A-B4E5451ECADF}" name="Tier" dataDxfId="53"/>
    <tableColumn id="2" xr3:uid="{FF40FEE5-B33B-4AE3-86A9-DCBC2B1E0AE4}" name="Bottom Level" dataDxfId="52"/>
    <tableColumn id="3" xr3:uid="{7E04DD56-7A08-4282-BAF1-17C41B328FAC}" name="Top Level" dataDxfId="51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EBBED3-3383-4512-8805-1FABA53B64E8}" name="Distribution_Chances" displayName="Distribution_Chances" ref="A17:C22" totalsRowShown="0" headerRowDxfId="50" dataDxfId="49">
  <autoFilter ref="A17:C22" xr:uid="{473D3733-A24E-4816-AC72-DF65336DE23E}"/>
  <tableColumns count="3">
    <tableColumn id="1" xr3:uid="{BC57A5ED-C14C-45B0-AC9F-C42D374EDAD4}" name="Step Above or Below Normal" dataDxfId="48"/>
    <tableColumn id="2" xr3:uid="{AC78AC87-B300-484E-A99B-45FB23C3A5F9}" name="Chance modifier" dataDxfId="47"/>
    <tableColumn id="3" xr3:uid="{A872B6A7-BE5A-4E30-A6AA-3990C74E0C65}" name="Percentage Chance" dataDxfId="46">
      <calculatedColumnFormula>ROUND((100/SUM(Distribution_Chances[Chance modifier])*Distribution_Chances[[#This Row],[Chance modifier]]),0)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8D0CF89-793F-4518-BA48-BAD24E19AC43}" name="Skill_Check_Modifier" displayName="Skill_Check_Modifier" ref="E8:H15" totalsRowShown="0" headerRowDxfId="45" dataDxfId="44">
  <autoFilter ref="E8:H15" xr:uid="{D3CFA063-94C9-4E90-8823-ED40EAA76E6A}"/>
  <tableColumns count="4">
    <tableColumn id="1" xr3:uid="{51E7B4BD-FBA9-4B9B-9E04-FEBCA5E2252E}" name="Slot Modifier" dataDxfId="43"/>
    <tableColumn id="3" xr3:uid="{FEDD631D-03C9-4207-9A83-CFF6CB2A8687}" name="Bottom of roll range" dataDxfId="42"/>
    <tableColumn id="2" xr3:uid="{CB276E81-298D-488E-BE9E-738B800F8268}" name="Top of Roll Range" dataDxfId="41"/>
    <tableColumn id="4" xr3:uid="{C0C5E1DE-C4CB-4628-915F-19FD17738BFA}" name="Odds" dataDxfId="40">
      <calculatedColumnFormula>G9-(F9-1)&amp;"%"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28B96F-62F5-4503-8D57-7791AB6E3455}" name="Distribution_Chances_Roll_Table" displayName="Distribution_Chances_Roll_Table" ref="A25:C30" totalsRowShown="0" headerRowDxfId="4" dataDxfId="3">
  <autoFilter ref="A25:C30" xr:uid="{EE0AF159-D6C8-49C0-8CF5-6AC3CE4DD31A}"/>
  <tableColumns count="3">
    <tableColumn id="1" xr3:uid="{30351F9D-885D-4B6D-8610-9C1C6BD2EF18}" name="Step Above or Below Normal" dataDxfId="2">
      <calculatedColumnFormula>A18</calculatedColumnFormula>
    </tableColumn>
    <tableColumn id="2" xr3:uid="{82EC32B2-5F63-4493-8323-601EF492326B}" name="Bottom of Roll" dataDxfId="1"/>
    <tableColumn id="3" xr3:uid="{0F9481F4-19CF-4819-BC30-52077F99EB4A}" name="Top of Roll" dataDxfId="0">
      <calculatedColumnFormula>IF(Distribution_Chances_Roll_Table[[#This Row],[Bottom of Roll]]=" "," ",Distribution_Chances_Roll_Table[[#This Row],[Bottom of Roll]]+C18-1)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40E7D20-1E5A-4C68-831B-5031FC5E0E1F}" name="Normal_Rarity_Per_Tier" displayName="Normal_Rarity_Per_Tier" ref="A9:B13" totalsRowShown="0" headerRowDxfId="39" dataDxfId="38">
  <autoFilter ref="A9:B13" xr:uid="{A0EB49F5-FDEC-4CA9-A487-C567BA1759C6}"/>
  <tableColumns count="2">
    <tableColumn id="1" xr3:uid="{FE1C0029-2016-4F1A-B2C0-5C4B6099FB97}" name="Tier" dataDxfId="37"/>
    <tableColumn id="2" xr3:uid="{D0BE04C6-844E-4C71-AEDD-032B193A0758}" name="Rarity" dataDxfId="36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9F326AD-C244-423D-8420-DE8C145A09AC}" name="Rarity_to_Number_Table" displayName="Rarity_to_Number_Table" ref="A33:B38" totalsRowShown="0" headerRowDxfId="35" dataDxfId="34">
  <autoFilter ref="A33:B38" xr:uid="{D7CFA7FB-3AC3-4972-9D55-6AB3F9A78094}"/>
  <tableColumns count="2">
    <tableColumn id="1" xr3:uid="{50C0486E-A19F-4C62-A286-0E4DA1DFBEE9}" name="Rarity" dataDxfId="33"/>
    <tableColumn id="2" xr3:uid="{2146358F-3CB4-4418-A54F-F1BF93A6E4C8}" name="Number" dataDxfId="3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925F18-C299-498A-9918-42D2996F8D81}" name="Minor_Common_Items" displayName="Minor_Common_Items" ref="A2:A48" totalsRowShown="0" headerRowDxfId="31" dataDxfId="30">
  <autoFilter ref="A2:A48" xr:uid="{5C68E89D-3F2C-48B1-8C30-C39A60F15D5D}"/>
  <tableColumns count="1">
    <tableColumn id="1" xr3:uid="{A448ECA6-7BC2-4699-BB8D-2F1652D80871}" name="Minor Common Items" dataDxfId="29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284144C-D84D-400C-9E62-6C676C906F5D}" name="Minor_Uncommon_Items" displayName="Minor_Uncommon_Items" ref="B2:B37" totalsRowShown="0" headerRowDxfId="28" dataDxfId="27">
  <autoFilter ref="B2:B37" xr:uid="{A23FC3BD-0EC9-4B77-8BCD-C9C28746B5D8}"/>
  <tableColumns count="1">
    <tableColumn id="1" xr3:uid="{7B883E80-81C7-4087-B260-637EA102E500}" name="Minor Uncommon Items" dataDxfId="26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832CCD0-5DD8-449A-9C5F-2697F481BA52}" name="Minor_Rare_Items" displayName="Minor_Rare_Items" ref="C2:C24" totalsRowShown="0" headerRowDxfId="25" dataDxfId="24">
  <autoFilter ref="C2:C24" xr:uid="{8DCFCD2D-4353-426C-9DA2-062717C41691}"/>
  <tableColumns count="1">
    <tableColumn id="1" xr3:uid="{302A444F-09A4-4F09-A769-B3A12F47EB44}" name="Minor Rare Items" dataDxfId="23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4D2923A-CDD9-4F93-90B4-7DF55AA51C64}" name="Minor_Very_Rare_Items" displayName="Minor_Very_Rare_Items" ref="D2:D14" totalsRowShown="0" headerRowDxfId="22" dataDxfId="21">
  <autoFilter ref="D2:D14" xr:uid="{9BE0A34B-1586-42C5-8F51-7A0BEA619604}"/>
  <tableColumns count="1">
    <tableColumn id="1" xr3:uid="{7730BF0F-CE3C-4AEE-9973-EBF945F0DD65}" name="Minor Very Rare Items" dataDxfId="20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7DB137F-18C8-453A-BF17-65C702078C74}" name="Minor_Legendary_Items" displayName="Minor_Legendary_Items" ref="E2:E6" totalsRowShown="0" headerRowDxfId="19" dataDxfId="18">
  <autoFilter ref="E2:E6" xr:uid="{3A10238A-586D-47DD-BEC2-747053D52742}"/>
  <tableColumns count="1">
    <tableColumn id="1" xr3:uid="{18FA9952-F5D4-4F29-BFC4-41C339799817}" name="Minor Legendary Items" dataDxfId="17"/>
  </tableColumns>
  <tableStyleInfo name="TableStyleLight1" showFirstColumn="0" showLastColumn="0" showRowStripes="1" showColumnStripes="0"/>
  <extLst>
    <ext xmlns:x14="http://schemas.microsoft.com/office/spreadsheetml/2009/9/main" uri="{504A1905-F514-4f6f-8877-14C23A59335A}">
      <x14:table altText="Minor Legendary Items"/>
    </ext>
  </extLst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A050BE0-7703-4495-A129-449ABFCF0EC9}" name="Major_Uncommon_Items" displayName="Major_Uncommon_Items" ref="B2:B54" totalsRowShown="0" headerRowDxfId="16" dataDxfId="15">
  <autoFilter ref="B2:B54" xr:uid="{854E6072-203D-421E-B743-DA2AAA54E50D}"/>
  <tableColumns count="1">
    <tableColumn id="1" xr3:uid="{37331847-BBB4-4BC8-B567-4BEE351EC0A7}" name="Major Uncommon Items" dataDxfId="14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00E7603-CA2D-41A5-AEB0-97D6CB2451CA}" name="Major_Rare_Items" displayName="Major_Rare_Items" ref="C2:C81" totalsRowShown="0" headerRowDxfId="13" dataDxfId="12">
  <autoFilter ref="C2:C81" xr:uid="{7D0BCCAA-0BE6-4461-9FAB-04C69608D8E3}"/>
  <tableColumns count="1">
    <tableColumn id="1" xr3:uid="{C99081A7-70B4-48A1-92F2-2CA889DE605D}" name="Major Rare Items" dataDxfId="11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3BA4721-41F2-43B9-9E7F-B76031514E63}" name="Major_Very_Rare_Items" displayName="Major_Very_Rare_Items" ref="D2:D55" totalsRowShown="0" headerRowDxfId="10" dataDxfId="9">
  <autoFilter ref="D2:D55" xr:uid="{5628A76D-8CAA-48DD-9F16-4FEE9AE65308}"/>
  <tableColumns count="1">
    <tableColumn id="1" xr3:uid="{4544581F-7276-48B2-86F6-722DF20DC0BE}" name="Major Very Rare Items" dataDxfId="8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2C958EB-7702-41A6-B812-6775390E57CC}" name="Major_Legendary_Items" displayName="Major_Legendary_Items" ref="E2:E44" totalsRowShown="0" headerRowDxfId="7" dataDxfId="6">
  <autoFilter ref="E2:E44" xr:uid="{CC902050-8B62-4527-811C-26F767748B4A}"/>
  <tableColumns count="1">
    <tableColumn id="1" xr3:uid="{F6DB9B54-571B-44DA-80C2-B6EE40DACF93}" name="Major Legendary Items" dataDxfId="5"/>
  </tableColumns>
  <tableStyleInfo name="TableStyleLight1" showFirstColumn="0" showLastColumn="0" showRowStripes="1" showColumnStripes="0"/>
  <extLst>
    <ext xmlns:x14="http://schemas.microsoft.com/office/spreadsheetml/2009/9/main" uri="{504A1905-F514-4f6f-8877-14C23A59335A}">
      <x14:table altText="Minor Legendary Items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Relationship Id="rId4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1657A-2BD3-449B-9DCA-7AF88F714434}">
  <sheetPr codeName="Sheet1"/>
  <dimension ref="A1:S101"/>
  <sheetViews>
    <sheetView tabSelected="1" zoomScaleNormal="100" workbookViewId="0">
      <selection activeCell="R18" sqref="R18"/>
    </sheetView>
  </sheetViews>
  <sheetFormatPr defaultRowHeight="15" x14ac:dyDescent="0.25"/>
  <cols>
    <col min="1" max="1" width="91.5703125" customWidth="1"/>
    <col min="2" max="2" width="9.5703125" bestFit="1" customWidth="1"/>
    <col min="3" max="3" width="12" hidden="1" customWidth="1"/>
    <col min="4" max="4" width="16.85546875" hidden="1" customWidth="1"/>
    <col min="5" max="5" width="16" hidden="1" customWidth="1"/>
    <col min="6" max="6" width="22.140625" hidden="1" customWidth="1"/>
    <col min="7" max="7" width="1.28515625" customWidth="1"/>
    <col min="8" max="8" width="22.42578125" customWidth="1"/>
    <col min="9" max="9" width="7" bestFit="1" customWidth="1"/>
    <col min="10" max="10" width="8.28515625" bestFit="1" customWidth="1"/>
    <col min="13" max="13" width="8.140625" customWidth="1"/>
    <col min="14" max="14" width="24.7109375" bestFit="1" customWidth="1"/>
  </cols>
  <sheetData>
    <row r="1" spans="1:19" x14ac:dyDescent="0.25">
      <c r="A1" s="89" t="s">
        <v>17</v>
      </c>
      <c r="B1" s="90"/>
      <c r="C1" s="90"/>
      <c r="D1" s="90"/>
      <c r="E1" s="90"/>
      <c r="F1" s="90"/>
      <c r="G1" s="10"/>
      <c r="H1" s="102" t="s">
        <v>20</v>
      </c>
      <c r="I1" s="103"/>
      <c r="J1" s="29"/>
      <c r="K1" s="90" t="s">
        <v>67</v>
      </c>
      <c r="L1" s="90"/>
      <c r="M1" s="10"/>
      <c r="N1" s="100" t="s">
        <v>29</v>
      </c>
      <c r="O1" s="101"/>
      <c r="P1" s="10"/>
      <c r="Q1" s="10"/>
      <c r="R1" s="10"/>
      <c r="S1" s="10"/>
    </row>
    <row r="2" spans="1:19" x14ac:dyDescent="0.25">
      <c r="A2" s="4" t="s">
        <v>18</v>
      </c>
      <c r="B2" s="8" t="s">
        <v>19</v>
      </c>
      <c r="C2" s="8" t="s">
        <v>47</v>
      </c>
      <c r="D2" s="8" t="s">
        <v>63</v>
      </c>
      <c r="E2" s="8" t="s">
        <v>56</v>
      </c>
      <c r="F2" s="5" t="s">
        <v>48</v>
      </c>
      <c r="G2" s="10"/>
      <c r="H2" s="2" t="s">
        <v>21</v>
      </c>
      <c r="I2" s="11">
        <v>5</v>
      </c>
      <c r="J2" s="10"/>
      <c r="K2" s="6" t="s">
        <v>28</v>
      </c>
      <c r="L2" s="7" t="s">
        <v>21</v>
      </c>
      <c r="M2" s="10"/>
      <c r="N2" s="2" t="s">
        <v>30</v>
      </c>
      <c r="O2" s="2">
        <f>Base+(ROUNDUP(Combined_Player_Levels/Magic_Rarity_Constant,0)+IF(Use_Skill_Check&lt;1,0,LOOKUP(Skill_Check_Roll,Skill_Check_Modifier[Bottom of roll range],Skill_Check_Modifier[Slot Modifier])))</f>
        <v>6</v>
      </c>
      <c r="P2" s="10"/>
      <c r="Q2" s="10"/>
      <c r="R2" s="10"/>
      <c r="S2" s="10"/>
    </row>
    <row r="3" spans="1:19" x14ac:dyDescent="0.25">
      <c r="A3" s="1" t="str">
        <f ca="1"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>Dust of Disappearance (DMG166) Uncommon 300gp</v>
      </c>
      <c r="B3" s="11"/>
      <c r="C3" s="2">
        <f t="shared" ref="C3:C34" ca="1" si="0">IF((ROW()-2)&gt;Number_of_Inventory_Slots," ",RANDBETWEEN(1,100))</f>
        <v>60</v>
      </c>
      <c r="D3" s="2" t="str">
        <f t="shared" ref="D3:D34" ca="1" si="1">IF((ROW()-2)&gt;Number_of_Inventory_Slots," ",IF(RANDBETWEEN(1,100)&gt;Chance_for_Major_Item,"Minor","Major"))</f>
        <v>Minor</v>
      </c>
      <c r="E3" s="2">
        <f ca="1"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>2</v>
      </c>
      <c r="F3" s="3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>8</v>
      </c>
      <c r="G3" s="10"/>
      <c r="H3" s="2" t="s">
        <v>22</v>
      </c>
      <c r="I3" s="11">
        <v>1</v>
      </c>
      <c r="J3" s="10"/>
      <c r="K3" s="11" t="s">
        <v>25</v>
      </c>
      <c r="L3" s="11">
        <v>1</v>
      </c>
      <c r="M3" s="10"/>
      <c r="N3" s="2" t="s">
        <v>33</v>
      </c>
      <c r="O3" s="2">
        <f>Combined_Player_Levels/Number_of_Players</f>
        <v>1</v>
      </c>
      <c r="P3" s="10"/>
      <c r="Q3" s="10"/>
      <c r="R3" s="10"/>
      <c r="S3" s="10"/>
    </row>
    <row r="4" spans="1:19" x14ac:dyDescent="0.25">
      <c r="A4" s="1" t="str">
        <f ca="1"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>Mace of Smiting (DMG179) Rare 7000gp</v>
      </c>
      <c r="B4" s="11"/>
      <c r="C4" s="2">
        <f t="shared" ca="1" si="0"/>
        <v>79</v>
      </c>
      <c r="D4" s="2" t="str">
        <f t="shared" ca="1" si="1"/>
        <v>Major</v>
      </c>
      <c r="E4" s="2">
        <f ca="1"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>3</v>
      </c>
      <c r="F4" s="3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>44</v>
      </c>
      <c r="G4" s="10"/>
      <c r="H4" s="2" t="s">
        <v>23</v>
      </c>
      <c r="I4" s="11">
        <v>1</v>
      </c>
      <c r="J4" s="10"/>
      <c r="K4" s="11" t="s">
        <v>26</v>
      </c>
      <c r="L4" s="11">
        <v>3</v>
      </c>
      <c r="M4" s="10"/>
      <c r="N4" s="2" t="s">
        <v>1</v>
      </c>
      <c r="O4" s="2">
        <f>LOOKUP(APL,Tires[Bottom Level],Tires[Tier])</f>
        <v>1</v>
      </c>
      <c r="P4" s="10"/>
      <c r="Q4" s="10"/>
      <c r="R4" s="10"/>
      <c r="S4" s="10"/>
    </row>
    <row r="5" spans="1:19" x14ac:dyDescent="0.25">
      <c r="A5" s="1" t="str">
        <f ca="1"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>Cloak of Elvenkind (DMG158) Uncommon 5000gp</v>
      </c>
      <c r="B5" s="11"/>
      <c r="C5" s="2">
        <f t="shared" ca="1" si="0"/>
        <v>66</v>
      </c>
      <c r="D5" s="2" t="str">
        <f t="shared" ca="1" si="1"/>
        <v>Major</v>
      </c>
      <c r="E5" s="2">
        <f ca="1"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>2</v>
      </c>
      <c r="F5" s="3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>11</v>
      </c>
      <c r="G5" s="10"/>
      <c r="H5" s="2" t="s">
        <v>24</v>
      </c>
      <c r="I5" s="11"/>
      <c r="J5" s="10"/>
      <c r="K5" s="11" t="s">
        <v>27</v>
      </c>
      <c r="L5" s="11">
        <v>5</v>
      </c>
      <c r="M5" s="10"/>
      <c r="N5" s="10"/>
      <c r="O5" s="10"/>
      <c r="P5" s="10"/>
      <c r="Q5" s="10"/>
      <c r="R5" s="10"/>
      <c r="S5" s="10"/>
    </row>
    <row r="6" spans="1:19" ht="15.75" thickBot="1" x14ac:dyDescent="0.3">
      <c r="A6" s="1" t="str">
        <f ca="1"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>Charlatan's Die (XGE136) Common 50gp</v>
      </c>
      <c r="B6" s="11"/>
      <c r="C6" s="2">
        <f t="shared" ca="1" si="0"/>
        <v>23</v>
      </c>
      <c r="D6" s="2" t="str">
        <f t="shared" ca="1" si="1"/>
        <v>Minor</v>
      </c>
      <c r="E6" s="2">
        <f ca="1"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>1</v>
      </c>
      <c r="F6" s="3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>7</v>
      </c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</row>
    <row r="7" spans="1:19" ht="15.75" thickBot="1" x14ac:dyDescent="0.3">
      <c r="A7" s="1" t="str">
        <f ca="1"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>Javelin of Lightning (DMG178) Uncommon 1500gp</v>
      </c>
      <c r="B7" s="11"/>
      <c r="C7" s="2">
        <f t="shared" ca="1" si="0"/>
        <v>64</v>
      </c>
      <c r="D7" s="2" t="str">
        <f t="shared" ca="1" si="1"/>
        <v>Major</v>
      </c>
      <c r="E7" s="2">
        <f ca="1"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>2</v>
      </c>
      <c r="F7" s="3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>29</v>
      </c>
      <c r="G7" s="10"/>
      <c r="H7" s="10"/>
      <c r="I7" s="10"/>
      <c r="J7" s="10"/>
      <c r="K7" s="10"/>
      <c r="L7" s="10"/>
      <c r="M7" s="104" t="s">
        <v>460</v>
      </c>
      <c r="N7" s="105"/>
      <c r="O7" s="40"/>
      <c r="P7" s="40"/>
      <c r="Q7" s="40"/>
      <c r="R7" s="10"/>
      <c r="S7" s="10"/>
    </row>
    <row r="8" spans="1:19" x14ac:dyDescent="0.25">
      <c r="A8" s="1" t="str">
        <f ca="1"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>Lantern of Revealing (DMG179) Uncommon 5000gp</v>
      </c>
      <c r="B8" s="11"/>
      <c r="C8" s="2">
        <f t="shared" ca="1" si="0"/>
        <v>63</v>
      </c>
      <c r="D8" s="2" t="str">
        <f t="shared" ca="1" si="1"/>
        <v>Minor</v>
      </c>
      <c r="E8" s="2">
        <f ca="1"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>2</v>
      </c>
      <c r="F8" s="3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>17</v>
      </c>
      <c r="G8" s="10"/>
      <c r="H8" s="10"/>
      <c r="I8" s="10"/>
      <c r="J8" s="10"/>
      <c r="K8" s="10"/>
      <c r="L8" s="10"/>
      <c r="M8" s="109" t="s">
        <v>461</v>
      </c>
      <c r="N8" s="109"/>
      <c r="O8" s="44"/>
      <c r="P8" s="44"/>
      <c r="Q8" s="44"/>
      <c r="R8" s="10"/>
      <c r="S8" s="10"/>
    </row>
    <row r="9" spans="1:19" x14ac:dyDescent="0.25">
      <c r="A9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9" s="11"/>
      <c r="C9" s="2" t="str">
        <f t="shared" ca="1" si="0"/>
        <v xml:space="preserve"> </v>
      </c>
      <c r="D9" s="2" t="str">
        <f t="shared" ca="1" si="1"/>
        <v xml:space="preserve"> </v>
      </c>
      <c r="E9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9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9" s="10"/>
      <c r="H9" s="10"/>
      <c r="I9" s="10"/>
      <c r="J9" s="10"/>
      <c r="K9" s="10"/>
      <c r="L9" s="10"/>
      <c r="M9" s="45" t="s">
        <v>462</v>
      </c>
      <c r="N9" s="45"/>
      <c r="O9" s="44"/>
      <c r="P9" s="44"/>
      <c r="Q9" s="44"/>
      <c r="R9" s="10"/>
      <c r="S9" s="10"/>
    </row>
    <row r="10" spans="1:19" x14ac:dyDescent="0.25">
      <c r="A10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10" s="11"/>
      <c r="C10" s="2" t="str">
        <f t="shared" ca="1" si="0"/>
        <v xml:space="preserve"> </v>
      </c>
      <c r="D10" s="2" t="str">
        <f t="shared" ca="1" si="1"/>
        <v xml:space="preserve"> </v>
      </c>
      <c r="E10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10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10" s="10"/>
      <c r="H10" s="10"/>
      <c r="I10" s="10"/>
      <c r="J10" s="10"/>
      <c r="K10" s="10"/>
      <c r="L10" s="10"/>
      <c r="M10" s="46" t="s">
        <v>473</v>
      </c>
      <c r="N10" s="46"/>
      <c r="O10" s="44"/>
      <c r="P10" s="44"/>
      <c r="Q10" s="44"/>
      <c r="R10" s="10"/>
      <c r="S10" s="10"/>
    </row>
    <row r="11" spans="1:19" x14ac:dyDescent="0.25">
      <c r="A11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11" s="11"/>
      <c r="C11" s="2" t="str">
        <f t="shared" ca="1" si="0"/>
        <v xml:space="preserve"> </v>
      </c>
      <c r="D11" s="2" t="str">
        <f t="shared" ca="1" si="1"/>
        <v xml:space="preserve"> </v>
      </c>
      <c r="E11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11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11" s="10"/>
      <c r="H11" s="97" t="s">
        <v>317</v>
      </c>
      <c r="I11" s="98"/>
      <c r="J11" s="98"/>
      <c r="K11" s="99"/>
      <c r="L11" s="10"/>
      <c r="M11" s="45" t="s">
        <v>463</v>
      </c>
      <c r="N11" s="45"/>
      <c r="O11" s="44"/>
      <c r="P11" s="44"/>
      <c r="Q11" s="44"/>
      <c r="R11" s="10"/>
      <c r="S11" s="10"/>
    </row>
    <row r="12" spans="1:19" x14ac:dyDescent="0.25">
      <c r="A12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12" s="11"/>
      <c r="C12" s="2" t="str">
        <f t="shared" ca="1" si="0"/>
        <v xml:space="preserve"> </v>
      </c>
      <c r="D12" s="2" t="str">
        <f t="shared" ca="1" si="1"/>
        <v xml:space="preserve"> </v>
      </c>
      <c r="E12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12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12" s="10"/>
      <c r="H12" s="33" t="s">
        <v>318</v>
      </c>
      <c r="I12" s="34" t="s">
        <v>319</v>
      </c>
      <c r="J12" s="34" t="s">
        <v>55</v>
      </c>
      <c r="K12" s="34" t="s">
        <v>320</v>
      </c>
      <c r="L12" s="10"/>
      <c r="M12" s="46" t="s">
        <v>464</v>
      </c>
      <c r="N12" s="46"/>
      <c r="O12" s="44"/>
      <c r="P12" s="44"/>
      <c r="Q12" s="44"/>
      <c r="R12" s="10"/>
      <c r="S12" s="10"/>
    </row>
    <row r="13" spans="1:19" x14ac:dyDescent="0.25">
      <c r="A13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13" s="11"/>
      <c r="C13" s="2" t="str">
        <f t="shared" ca="1" si="0"/>
        <v xml:space="preserve"> </v>
      </c>
      <c r="D13" s="2" t="str">
        <f t="shared" ca="1" si="1"/>
        <v xml:space="preserve"> </v>
      </c>
      <c r="E13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13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13" s="10"/>
      <c r="H13" s="33" t="s">
        <v>321</v>
      </c>
      <c r="I13" s="34">
        <v>2000</v>
      </c>
      <c r="J13" s="43"/>
      <c r="K13" s="35">
        <f t="shared" ref="K13:K18" si="2">I13*J13</f>
        <v>0</v>
      </c>
      <c r="L13" s="10"/>
      <c r="M13" s="45" t="s">
        <v>465</v>
      </c>
      <c r="N13" s="45"/>
      <c r="O13" s="44"/>
      <c r="P13" s="44"/>
      <c r="Q13" s="44"/>
      <c r="R13" s="10"/>
      <c r="S13" s="10"/>
    </row>
    <row r="14" spans="1:19" x14ac:dyDescent="0.25">
      <c r="A14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14" s="11"/>
      <c r="C14" s="2" t="str">
        <f t="shared" ca="1" si="0"/>
        <v xml:space="preserve"> </v>
      </c>
      <c r="D14" s="2" t="str">
        <f t="shared" ca="1" si="1"/>
        <v xml:space="preserve"> </v>
      </c>
      <c r="E14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14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14" s="10"/>
      <c r="H14" s="33" t="s">
        <v>322</v>
      </c>
      <c r="I14" s="34">
        <v>4000</v>
      </c>
      <c r="J14" s="43"/>
      <c r="K14" s="35">
        <f t="shared" si="2"/>
        <v>0</v>
      </c>
      <c r="L14" s="10"/>
      <c r="M14" s="46" t="s">
        <v>466</v>
      </c>
      <c r="N14" s="46"/>
      <c r="O14" s="44"/>
      <c r="P14" s="44"/>
      <c r="Q14" s="44"/>
      <c r="R14" s="10"/>
      <c r="S14" s="10"/>
    </row>
    <row r="15" spans="1:19" x14ac:dyDescent="0.25">
      <c r="A15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15" s="11"/>
      <c r="C15" s="2" t="str">
        <f t="shared" ca="1" si="0"/>
        <v xml:space="preserve"> </v>
      </c>
      <c r="D15" s="2" t="str">
        <f t="shared" ca="1" si="1"/>
        <v xml:space="preserve"> </v>
      </c>
      <c r="E15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15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15" s="10"/>
      <c r="H15" s="33" t="s">
        <v>323</v>
      </c>
      <c r="I15" s="34">
        <v>32000</v>
      </c>
      <c r="J15" s="43"/>
      <c r="K15" s="35">
        <f t="shared" si="2"/>
        <v>0</v>
      </c>
      <c r="L15" s="10"/>
      <c r="M15" s="45" t="s">
        <v>467</v>
      </c>
      <c r="N15" s="45"/>
      <c r="O15" s="44"/>
      <c r="P15" s="44"/>
      <c r="Q15" s="44"/>
      <c r="R15" s="10"/>
      <c r="S15" s="10"/>
    </row>
    <row r="16" spans="1:19" x14ac:dyDescent="0.25">
      <c r="A16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16" s="11"/>
      <c r="C16" s="2" t="str">
        <f t="shared" ca="1" si="0"/>
        <v xml:space="preserve"> </v>
      </c>
      <c r="D16" s="2" t="str">
        <f t="shared" ca="1" si="1"/>
        <v xml:space="preserve"> </v>
      </c>
      <c r="E16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16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16" s="10"/>
      <c r="H16" s="33" t="s">
        <v>324</v>
      </c>
      <c r="I16" s="34">
        <v>1500</v>
      </c>
      <c r="J16" s="43"/>
      <c r="K16" s="35">
        <f t="shared" si="2"/>
        <v>0</v>
      </c>
      <c r="L16" s="10"/>
      <c r="M16" s="46" t="s">
        <v>471</v>
      </c>
      <c r="N16" s="46"/>
      <c r="O16" s="44"/>
      <c r="P16" s="44"/>
      <c r="Q16" s="44"/>
      <c r="R16" s="10"/>
      <c r="S16" s="10"/>
    </row>
    <row r="17" spans="1:19" x14ac:dyDescent="0.25">
      <c r="A17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17" s="11"/>
      <c r="C17" s="2" t="str">
        <f t="shared" ca="1" si="0"/>
        <v xml:space="preserve"> </v>
      </c>
      <c r="D17" s="2" t="str">
        <f t="shared" ca="1" si="1"/>
        <v xml:space="preserve"> </v>
      </c>
      <c r="E17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17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17" s="10"/>
      <c r="H17" s="33" t="s">
        <v>325</v>
      </c>
      <c r="I17" s="34">
        <v>128000</v>
      </c>
      <c r="J17" s="43"/>
      <c r="K17" s="35">
        <f t="shared" si="2"/>
        <v>0</v>
      </c>
      <c r="L17" s="10"/>
      <c r="M17" s="45" t="s">
        <v>468</v>
      </c>
      <c r="N17" s="45"/>
      <c r="O17" s="44"/>
      <c r="P17" s="44"/>
      <c r="Q17" s="44"/>
      <c r="R17" s="10"/>
      <c r="S17" s="10"/>
    </row>
    <row r="18" spans="1:19" x14ac:dyDescent="0.25">
      <c r="A18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18" s="11"/>
      <c r="C18" s="2" t="str">
        <f t="shared" ca="1" si="0"/>
        <v xml:space="preserve"> </v>
      </c>
      <c r="D18" s="2" t="str">
        <f t="shared" ca="1" si="1"/>
        <v xml:space="preserve"> </v>
      </c>
      <c r="E18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18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18" s="10"/>
      <c r="H18" s="33" t="s">
        <v>326</v>
      </c>
      <c r="I18" s="34">
        <v>96000</v>
      </c>
      <c r="J18" s="43"/>
      <c r="K18" s="35">
        <f t="shared" si="2"/>
        <v>0</v>
      </c>
      <c r="L18" s="10"/>
      <c r="M18" s="46" t="s">
        <v>469</v>
      </c>
      <c r="N18" s="46"/>
      <c r="O18" s="44"/>
      <c r="P18" s="44"/>
      <c r="Q18" s="44"/>
      <c r="R18" s="10"/>
      <c r="S18" s="10"/>
    </row>
    <row r="19" spans="1:19" x14ac:dyDescent="0.25">
      <c r="A19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19" s="11"/>
      <c r="C19" s="2" t="str">
        <f t="shared" ca="1" si="0"/>
        <v xml:space="preserve"> </v>
      </c>
      <c r="D19" s="2" t="str">
        <f t="shared" ca="1" si="1"/>
        <v xml:space="preserve"> </v>
      </c>
      <c r="E19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19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19" s="10"/>
      <c r="H19" s="86" t="s">
        <v>327</v>
      </c>
      <c r="I19" s="87"/>
      <c r="J19" s="88"/>
      <c r="K19" s="35">
        <f>SUM(K13:K18)</f>
        <v>0</v>
      </c>
      <c r="L19" s="10"/>
      <c r="M19" s="45" t="s">
        <v>470</v>
      </c>
      <c r="N19" s="45"/>
      <c r="O19" s="44"/>
      <c r="P19" s="44"/>
      <c r="Q19" s="44"/>
      <c r="R19" s="10"/>
      <c r="S19" s="10"/>
    </row>
    <row r="20" spans="1:19" ht="15.75" thickBot="1" x14ac:dyDescent="0.3">
      <c r="A20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20" s="11"/>
      <c r="C20" s="2" t="str">
        <f t="shared" ca="1" si="0"/>
        <v xml:space="preserve"> </v>
      </c>
      <c r="D20" s="2" t="str">
        <f t="shared" ca="1" si="1"/>
        <v xml:space="preserve"> </v>
      </c>
      <c r="E20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20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20" s="10"/>
      <c r="H20" s="10"/>
      <c r="I20" s="10"/>
      <c r="J20" s="10"/>
      <c r="K20" s="10"/>
      <c r="L20" s="10"/>
      <c r="M20" s="44"/>
      <c r="N20" s="44"/>
      <c r="O20" s="44"/>
      <c r="P20" s="44"/>
      <c r="Q20" s="44"/>
      <c r="R20" s="10"/>
      <c r="S20" s="10"/>
    </row>
    <row r="21" spans="1:19" ht="15.75" thickBot="1" x14ac:dyDescent="0.3">
      <c r="A21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21" s="11"/>
      <c r="C21" s="2" t="str">
        <f t="shared" ca="1" si="0"/>
        <v xml:space="preserve"> </v>
      </c>
      <c r="D21" s="2" t="str">
        <f t="shared" ca="1" si="1"/>
        <v xml:space="preserve"> </v>
      </c>
      <c r="E21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21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21" s="10"/>
      <c r="H21" s="74" t="s">
        <v>459</v>
      </c>
      <c r="I21" s="75"/>
      <c r="J21" s="75"/>
      <c r="K21" s="75"/>
      <c r="L21" s="75"/>
      <c r="M21" s="75"/>
      <c r="N21" s="75"/>
      <c r="O21" s="75"/>
      <c r="P21" s="75"/>
      <c r="Q21" s="76"/>
      <c r="R21" s="10"/>
      <c r="S21" s="10"/>
    </row>
    <row r="22" spans="1:19" ht="15.75" thickBot="1" x14ac:dyDescent="0.3">
      <c r="A22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22" s="11"/>
      <c r="C22" s="2" t="str">
        <f t="shared" ca="1" si="0"/>
        <v xml:space="preserve"> </v>
      </c>
      <c r="D22" s="2" t="str">
        <f t="shared" ca="1" si="1"/>
        <v xml:space="preserve"> </v>
      </c>
      <c r="E22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22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22" s="10"/>
      <c r="H22" s="68" t="s">
        <v>91</v>
      </c>
      <c r="I22" s="69"/>
      <c r="J22" s="69"/>
      <c r="K22" s="69"/>
      <c r="L22" s="70"/>
      <c r="M22" s="77" t="s">
        <v>107</v>
      </c>
      <c r="N22" s="78"/>
      <c r="O22" s="78"/>
      <c r="P22" s="78"/>
      <c r="Q22" s="79"/>
      <c r="R22" s="10"/>
      <c r="S22" s="10"/>
    </row>
    <row r="23" spans="1:19" ht="15.75" thickBot="1" x14ac:dyDescent="0.3">
      <c r="A23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23" s="11"/>
      <c r="C23" s="2" t="str">
        <f t="shared" ca="1" si="0"/>
        <v xml:space="preserve"> </v>
      </c>
      <c r="D23" s="2" t="str">
        <f t="shared" ca="1" si="1"/>
        <v xml:space="preserve"> </v>
      </c>
      <c r="E23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23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23" s="10"/>
      <c r="H23" s="53" t="s">
        <v>134</v>
      </c>
      <c r="I23" s="54"/>
      <c r="J23" s="54"/>
      <c r="K23" s="54"/>
      <c r="L23" s="55"/>
      <c r="M23" s="71" t="s">
        <v>280</v>
      </c>
      <c r="N23" s="72"/>
      <c r="O23" s="72"/>
      <c r="P23" s="72"/>
      <c r="Q23" s="73"/>
      <c r="R23" s="10"/>
      <c r="S23" s="10"/>
    </row>
    <row r="24" spans="1:19" x14ac:dyDescent="0.25">
      <c r="A24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24" s="11"/>
      <c r="C24" s="2" t="str">
        <f t="shared" ca="1" si="0"/>
        <v xml:space="preserve"> </v>
      </c>
      <c r="D24" s="2" t="str">
        <f t="shared" ca="1" si="1"/>
        <v xml:space="preserve"> </v>
      </c>
      <c r="E24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24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24" s="10"/>
      <c r="H24" s="80" t="s">
        <v>181</v>
      </c>
      <c r="I24" s="81"/>
      <c r="J24" s="81"/>
      <c r="K24" s="81"/>
      <c r="L24" s="82"/>
      <c r="M24" s="59" t="s">
        <v>264</v>
      </c>
      <c r="N24" s="60"/>
      <c r="O24" s="60"/>
      <c r="P24" s="60"/>
      <c r="Q24" s="61"/>
      <c r="R24" s="10"/>
      <c r="S24" s="10"/>
    </row>
    <row r="25" spans="1:19" ht="15.75" thickBot="1" x14ac:dyDescent="0.3">
      <c r="A25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25" s="11"/>
      <c r="C25" s="2" t="str">
        <f t="shared" ca="1" si="0"/>
        <v xml:space="preserve"> </v>
      </c>
      <c r="D25" s="2" t="str">
        <f t="shared" ca="1" si="1"/>
        <v xml:space="preserve"> </v>
      </c>
      <c r="E25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25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25" s="10"/>
      <c r="H25" s="91" t="s">
        <v>210</v>
      </c>
      <c r="I25" s="92"/>
      <c r="J25" s="92"/>
      <c r="K25" s="92"/>
      <c r="L25" s="93"/>
      <c r="M25" s="62" t="s">
        <v>343</v>
      </c>
      <c r="N25" s="63"/>
      <c r="O25" s="63"/>
      <c r="P25" s="63"/>
      <c r="Q25" s="64"/>
      <c r="R25" s="10"/>
      <c r="S25" s="10"/>
    </row>
    <row r="26" spans="1:19" ht="15.75" thickBot="1" x14ac:dyDescent="0.3">
      <c r="A26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26" s="11"/>
      <c r="C26" s="2" t="str">
        <f t="shared" ca="1" si="0"/>
        <v xml:space="preserve"> </v>
      </c>
      <c r="D26" s="2" t="str">
        <f t="shared" ca="1" si="1"/>
        <v xml:space="preserve"> </v>
      </c>
      <c r="E26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26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26" s="10"/>
      <c r="H26" s="68" t="s">
        <v>96</v>
      </c>
      <c r="I26" s="69"/>
      <c r="J26" s="69"/>
      <c r="K26" s="69"/>
      <c r="L26" s="70"/>
      <c r="M26" s="65" t="s">
        <v>405</v>
      </c>
      <c r="N26" s="66"/>
      <c r="O26" s="66"/>
      <c r="P26" s="66"/>
      <c r="Q26" s="67"/>
      <c r="R26" s="10"/>
      <c r="S26" s="10"/>
    </row>
    <row r="27" spans="1:19" x14ac:dyDescent="0.25">
      <c r="A27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27" s="11"/>
      <c r="C27" s="2" t="str">
        <f t="shared" ca="1" si="0"/>
        <v xml:space="preserve"> </v>
      </c>
      <c r="D27" s="2" t="str">
        <f t="shared" ca="1" si="1"/>
        <v xml:space="preserve"> </v>
      </c>
      <c r="E27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27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27" s="10"/>
      <c r="H27" s="94" t="s">
        <v>97</v>
      </c>
      <c r="I27" s="95"/>
      <c r="J27" s="95"/>
      <c r="K27" s="95"/>
      <c r="L27" s="96"/>
      <c r="M27" s="106" t="s">
        <v>275</v>
      </c>
      <c r="N27" s="107"/>
      <c r="O27" s="107"/>
      <c r="P27" s="107"/>
      <c r="Q27" s="108"/>
      <c r="R27" s="10"/>
      <c r="S27" s="10"/>
    </row>
    <row r="28" spans="1:19" x14ac:dyDescent="0.25">
      <c r="A28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28" s="11"/>
      <c r="C28" s="2" t="str">
        <f t="shared" ca="1" si="0"/>
        <v xml:space="preserve"> </v>
      </c>
      <c r="D28" s="2" t="str">
        <f t="shared" ca="1" si="1"/>
        <v xml:space="preserve"> </v>
      </c>
      <c r="E28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28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28" s="10"/>
      <c r="H28" s="80" t="s">
        <v>155</v>
      </c>
      <c r="I28" s="81"/>
      <c r="J28" s="81"/>
      <c r="K28" s="81"/>
      <c r="L28" s="82"/>
      <c r="M28" s="53" t="s">
        <v>362</v>
      </c>
      <c r="N28" s="54"/>
      <c r="O28" s="54"/>
      <c r="P28" s="54"/>
      <c r="Q28" s="55"/>
      <c r="R28" s="10"/>
      <c r="S28" s="10"/>
    </row>
    <row r="29" spans="1:19" ht="15.75" thickBot="1" x14ac:dyDescent="0.3">
      <c r="A29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29" s="11"/>
      <c r="C29" s="2" t="str">
        <f t="shared" ca="1" si="0"/>
        <v xml:space="preserve"> </v>
      </c>
      <c r="D29" s="2" t="str">
        <f t="shared" ca="1" si="1"/>
        <v xml:space="preserve"> </v>
      </c>
      <c r="E29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29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29" s="10"/>
      <c r="H29" s="47" t="s">
        <v>156</v>
      </c>
      <c r="I29" s="48"/>
      <c r="J29" s="48"/>
      <c r="K29" s="48"/>
      <c r="L29" s="49"/>
      <c r="M29" s="56" t="s">
        <v>472</v>
      </c>
      <c r="N29" s="57"/>
      <c r="O29" s="57"/>
      <c r="P29" s="57"/>
      <c r="Q29" s="58"/>
      <c r="R29" s="10"/>
      <c r="S29" s="10"/>
    </row>
    <row r="30" spans="1:19" x14ac:dyDescent="0.25">
      <c r="A30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30" s="11"/>
      <c r="C30" s="2" t="str">
        <f t="shared" ca="1" si="0"/>
        <v xml:space="preserve"> </v>
      </c>
      <c r="D30" s="2" t="str">
        <f t="shared" ca="1" si="1"/>
        <v xml:space="preserve"> </v>
      </c>
      <c r="E30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30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30" s="10"/>
      <c r="H30" s="80" t="s">
        <v>198</v>
      </c>
      <c r="I30" s="81"/>
      <c r="J30" s="81"/>
      <c r="K30" s="81"/>
      <c r="L30" s="82"/>
      <c r="M30" s="59" t="s">
        <v>272</v>
      </c>
      <c r="N30" s="60"/>
      <c r="O30" s="60"/>
      <c r="P30" s="60"/>
      <c r="Q30" s="61"/>
      <c r="R30" s="10"/>
      <c r="S30" s="10"/>
    </row>
    <row r="31" spans="1:19" x14ac:dyDescent="0.25">
      <c r="A31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31" s="11"/>
      <c r="C31" s="2" t="str">
        <f t="shared" ca="1" si="0"/>
        <v xml:space="preserve"> </v>
      </c>
      <c r="D31" s="2" t="str">
        <f t="shared" ca="1" si="1"/>
        <v xml:space="preserve"> </v>
      </c>
      <c r="E31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31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31" s="10"/>
      <c r="H31" s="47" t="s">
        <v>199</v>
      </c>
      <c r="I31" s="48"/>
      <c r="J31" s="48"/>
      <c r="K31" s="48"/>
      <c r="L31" s="49"/>
      <c r="M31" s="62" t="s">
        <v>360</v>
      </c>
      <c r="N31" s="63"/>
      <c r="O31" s="63"/>
      <c r="P31" s="63"/>
      <c r="Q31" s="64"/>
      <c r="R31" s="10"/>
      <c r="S31" s="10"/>
    </row>
    <row r="32" spans="1:19" ht="15.75" thickBot="1" x14ac:dyDescent="0.3">
      <c r="A32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32" s="11"/>
      <c r="C32" s="2" t="str">
        <f t="shared" ca="1" si="0"/>
        <v xml:space="preserve"> </v>
      </c>
      <c r="D32" s="2" t="str">
        <f t="shared" ca="1" si="1"/>
        <v xml:space="preserve"> </v>
      </c>
      <c r="E32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32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32" s="10"/>
      <c r="H32" s="80" t="s">
        <v>212</v>
      </c>
      <c r="I32" s="81"/>
      <c r="J32" s="81"/>
      <c r="K32" s="81"/>
      <c r="L32" s="82"/>
      <c r="M32" s="65" t="s">
        <v>416</v>
      </c>
      <c r="N32" s="66"/>
      <c r="O32" s="66"/>
      <c r="P32" s="66"/>
      <c r="Q32" s="67"/>
      <c r="R32" s="10"/>
      <c r="S32" s="10"/>
    </row>
    <row r="33" spans="1:19" x14ac:dyDescent="0.25">
      <c r="A33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33" s="11"/>
      <c r="C33" s="2" t="str">
        <f t="shared" ca="1" si="0"/>
        <v xml:space="preserve"> </v>
      </c>
      <c r="D33" s="2" t="str">
        <f t="shared" ca="1" si="1"/>
        <v xml:space="preserve"> </v>
      </c>
      <c r="E33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33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33" s="10"/>
      <c r="H33" s="47" t="s">
        <v>213</v>
      </c>
      <c r="I33" s="48"/>
      <c r="J33" s="48"/>
      <c r="K33" s="48"/>
      <c r="L33" s="49"/>
      <c r="M33" s="68" t="s">
        <v>262</v>
      </c>
      <c r="N33" s="69"/>
      <c r="O33" s="69"/>
      <c r="P33" s="69"/>
      <c r="Q33" s="70"/>
      <c r="R33" s="10"/>
      <c r="S33" s="10"/>
    </row>
    <row r="34" spans="1:19" x14ac:dyDescent="0.25">
      <c r="A34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34" s="11"/>
      <c r="C34" s="2" t="str">
        <f t="shared" ca="1" si="0"/>
        <v xml:space="preserve"> </v>
      </c>
      <c r="D34" s="2" t="str">
        <f t="shared" ca="1" si="1"/>
        <v xml:space="preserve"> </v>
      </c>
      <c r="E34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34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34" s="10"/>
      <c r="H34" s="80" t="s">
        <v>214</v>
      </c>
      <c r="I34" s="81"/>
      <c r="J34" s="81"/>
      <c r="K34" s="81"/>
      <c r="L34" s="82"/>
      <c r="M34" s="47" t="s">
        <v>340</v>
      </c>
      <c r="N34" s="48"/>
      <c r="O34" s="48"/>
      <c r="P34" s="48"/>
      <c r="Q34" s="49"/>
      <c r="R34" s="10"/>
      <c r="S34" s="10"/>
    </row>
    <row r="35" spans="1:19" ht="15.75" thickBot="1" x14ac:dyDescent="0.3">
      <c r="A35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35" s="11"/>
      <c r="C35" s="2" t="str">
        <f t="shared" ref="C35:C66" ca="1" si="3">IF((ROW()-2)&gt;Number_of_Inventory_Slots," ",RANDBETWEEN(1,100))</f>
        <v xml:space="preserve"> </v>
      </c>
      <c r="D35" s="2" t="str">
        <f t="shared" ref="D35:D66" ca="1" si="4">IF((ROW()-2)&gt;Number_of_Inventory_Slots," ",IF(RANDBETWEEN(1,100)&gt;Chance_for_Major_Item,"Minor","Major"))</f>
        <v xml:space="preserve"> </v>
      </c>
      <c r="E35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35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35" s="10"/>
      <c r="H35" s="83" t="s">
        <v>217</v>
      </c>
      <c r="I35" s="84"/>
      <c r="J35" s="84"/>
      <c r="K35" s="84"/>
      <c r="L35" s="85"/>
      <c r="M35" s="50" t="s">
        <v>403</v>
      </c>
      <c r="N35" s="51"/>
      <c r="O35" s="51"/>
      <c r="P35" s="51"/>
      <c r="Q35" s="52"/>
      <c r="R35" s="10"/>
      <c r="S35" s="10"/>
    </row>
    <row r="36" spans="1:19" x14ac:dyDescent="0.25">
      <c r="A36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36" s="11"/>
      <c r="C36" s="2" t="str">
        <f t="shared" ca="1" si="3"/>
        <v xml:space="preserve"> </v>
      </c>
      <c r="D36" s="2" t="str">
        <f t="shared" ca="1" si="4"/>
        <v xml:space="preserve"> </v>
      </c>
      <c r="E36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36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</row>
    <row r="37" spans="1:19" x14ac:dyDescent="0.25">
      <c r="A37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37" s="11"/>
      <c r="C37" s="2" t="str">
        <f t="shared" ca="1" si="3"/>
        <v xml:space="preserve"> </v>
      </c>
      <c r="D37" s="2" t="str">
        <f t="shared" ca="1" si="4"/>
        <v xml:space="preserve"> </v>
      </c>
      <c r="E37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37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37" s="10"/>
      <c r="H37" s="10"/>
      <c r="I37" s="40"/>
      <c r="J37" s="40"/>
      <c r="K37" s="40"/>
      <c r="L37" s="40"/>
      <c r="M37" s="41"/>
      <c r="N37" s="41"/>
      <c r="O37" s="41"/>
      <c r="P37" s="41"/>
      <c r="Q37" s="41"/>
      <c r="R37" s="10"/>
      <c r="S37" s="10"/>
    </row>
    <row r="38" spans="1:19" x14ac:dyDescent="0.25">
      <c r="A38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38" s="11"/>
      <c r="C38" s="2" t="str">
        <f t="shared" ca="1" si="3"/>
        <v xml:space="preserve"> </v>
      </c>
      <c r="D38" s="2" t="str">
        <f t="shared" ca="1" si="4"/>
        <v xml:space="preserve"> </v>
      </c>
      <c r="E38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38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38" s="10"/>
      <c r="H38" s="10"/>
      <c r="I38" s="40"/>
      <c r="J38" s="40"/>
      <c r="K38" s="40"/>
      <c r="L38" s="40"/>
      <c r="M38" s="42"/>
      <c r="N38" s="42"/>
      <c r="O38" s="42"/>
      <c r="P38" s="42"/>
      <c r="Q38" s="42"/>
      <c r="R38" s="10"/>
      <c r="S38" s="10"/>
    </row>
    <row r="39" spans="1:19" x14ac:dyDescent="0.25">
      <c r="A39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39" s="11"/>
      <c r="C39" s="2" t="str">
        <f t="shared" ca="1" si="3"/>
        <v xml:space="preserve"> </v>
      </c>
      <c r="D39" s="2" t="str">
        <f t="shared" ca="1" si="4"/>
        <v xml:space="preserve"> </v>
      </c>
      <c r="E39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39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39" s="10"/>
      <c r="H39" s="40"/>
      <c r="I39" s="40"/>
      <c r="J39" s="40"/>
      <c r="K39" s="40"/>
      <c r="L39" s="40"/>
      <c r="M39" s="42"/>
      <c r="N39" s="42"/>
      <c r="O39" s="42"/>
      <c r="P39" s="42"/>
      <c r="Q39" s="42"/>
      <c r="R39" s="10"/>
      <c r="S39" s="10"/>
    </row>
    <row r="40" spans="1:19" x14ac:dyDescent="0.25">
      <c r="A40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40" s="11"/>
      <c r="C40" s="2" t="str">
        <f t="shared" ca="1" si="3"/>
        <v xml:space="preserve"> </v>
      </c>
      <c r="D40" s="2" t="str">
        <f t="shared" ca="1" si="4"/>
        <v xml:space="preserve"> </v>
      </c>
      <c r="E40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40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40" s="10"/>
      <c r="H40" s="10"/>
      <c r="I40" s="40"/>
      <c r="J40" s="40"/>
      <c r="K40" s="40"/>
      <c r="L40" s="40"/>
      <c r="M40" s="42"/>
      <c r="N40" s="42"/>
      <c r="O40" s="42"/>
      <c r="P40" s="42"/>
      <c r="Q40" s="42"/>
      <c r="R40" s="10"/>
      <c r="S40" s="10"/>
    </row>
    <row r="41" spans="1:19" x14ac:dyDescent="0.25">
      <c r="A41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41" s="11"/>
      <c r="C41" s="2" t="str">
        <f t="shared" ca="1" si="3"/>
        <v xml:space="preserve"> </v>
      </c>
      <c r="D41" s="2" t="str">
        <f t="shared" ca="1" si="4"/>
        <v xml:space="preserve"> </v>
      </c>
      <c r="E41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41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1:19" x14ac:dyDescent="0.25">
      <c r="A42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42" s="11"/>
      <c r="C42" s="2" t="str">
        <f t="shared" ca="1" si="3"/>
        <v xml:space="preserve"> </v>
      </c>
      <c r="D42" s="2" t="str">
        <f t="shared" ca="1" si="4"/>
        <v xml:space="preserve"> </v>
      </c>
      <c r="E42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42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</row>
    <row r="43" spans="1:19" x14ac:dyDescent="0.25">
      <c r="A43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43" s="11"/>
      <c r="C43" s="2" t="str">
        <f t="shared" ca="1" si="3"/>
        <v xml:space="preserve"> </v>
      </c>
      <c r="D43" s="2" t="str">
        <f t="shared" ca="1" si="4"/>
        <v xml:space="preserve"> </v>
      </c>
      <c r="E43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43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1:19" x14ac:dyDescent="0.25">
      <c r="A44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44" s="11"/>
      <c r="C44" s="2" t="str">
        <f t="shared" ca="1" si="3"/>
        <v xml:space="preserve"> </v>
      </c>
      <c r="D44" s="2" t="str">
        <f t="shared" ca="1" si="4"/>
        <v xml:space="preserve"> </v>
      </c>
      <c r="E44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44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</row>
    <row r="45" spans="1:19" x14ac:dyDescent="0.25">
      <c r="A45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45" s="11"/>
      <c r="C45" s="2" t="str">
        <f t="shared" ca="1" si="3"/>
        <v xml:space="preserve"> </v>
      </c>
      <c r="D45" s="2" t="str">
        <f t="shared" ca="1" si="4"/>
        <v xml:space="preserve"> </v>
      </c>
      <c r="E45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45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</row>
    <row r="46" spans="1:19" x14ac:dyDescent="0.25">
      <c r="A46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46" s="11"/>
      <c r="C46" s="2" t="str">
        <f t="shared" ca="1" si="3"/>
        <v xml:space="preserve"> </v>
      </c>
      <c r="D46" s="2" t="str">
        <f t="shared" ca="1" si="4"/>
        <v xml:space="preserve"> </v>
      </c>
      <c r="E46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46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</row>
    <row r="47" spans="1:19" x14ac:dyDescent="0.25">
      <c r="A47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47" s="11"/>
      <c r="C47" s="2" t="str">
        <f t="shared" ca="1" si="3"/>
        <v xml:space="preserve"> </v>
      </c>
      <c r="D47" s="2" t="str">
        <f t="shared" ca="1" si="4"/>
        <v xml:space="preserve"> </v>
      </c>
      <c r="E47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47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</row>
    <row r="48" spans="1:19" x14ac:dyDescent="0.25">
      <c r="A48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48" s="11"/>
      <c r="C48" s="2" t="str">
        <f t="shared" ca="1" si="3"/>
        <v xml:space="preserve"> </v>
      </c>
      <c r="D48" s="2" t="str">
        <f t="shared" ca="1" si="4"/>
        <v xml:space="preserve"> </v>
      </c>
      <c r="E48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48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</row>
    <row r="49" spans="1:19" x14ac:dyDescent="0.25">
      <c r="A49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49" s="11"/>
      <c r="C49" s="2" t="str">
        <f t="shared" ca="1" si="3"/>
        <v xml:space="preserve"> </v>
      </c>
      <c r="D49" s="2" t="str">
        <f t="shared" ca="1" si="4"/>
        <v xml:space="preserve"> </v>
      </c>
      <c r="E49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49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</row>
    <row r="50" spans="1:19" x14ac:dyDescent="0.25">
      <c r="A50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50" s="11"/>
      <c r="C50" s="2" t="str">
        <f t="shared" ca="1" si="3"/>
        <v xml:space="preserve"> </v>
      </c>
      <c r="D50" s="2" t="str">
        <f t="shared" ca="1" si="4"/>
        <v xml:space="preserve"> </v>
      </c>
      <c r="E50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50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</row>
    <row r="51" spans="1:19" x14ac:dyDescent="0.25">
      <c r="A51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51" s="11"/>
      <c r="C51" s="2" t="str">
        <f t="shared" ca="1" si="3"/>
        <v xml:space="preserve"> </v>
      </c>
      <c r="D51" s="2" t="str">
        <f t="shared" ca="1" si="4"/>
        <v xml:space="preserve"> </v>
      </c>
      <c r="E51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51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</row>
    <row r="52" spans="1:19" x14ac:dyDescent="0.25">
      <c r="A52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52" s="11"/>
      <c r="C52" s="2" t="str">
        <f t="shared" ca="1" si="3"/>
        <v xml:space="preserve"> </v>
      </c>
      <c r="D52" s="2" t="str">
        <f t="shared" ca="1" si="4"/>
        <v xml:space="preserve"> </v>
      </c>
      <c r="E52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52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1:19" x14ac:dyDescent="0.25">
      <c r="A53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53" s="11"/>
      <c r="C53" s="2" t="str">
        <f t="shared" ca="1" si="3"/>
        <v xml:space="preserve"> </v>
      </c>
      <c r="D53" s="2" t="str">
        <f t="shared" ca="1" si="4"/>
        <v xml:space="preserve"> </v>
      </c>
      <c r="E53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53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</row>
    <row r="54" spans="1:19" x14ac:dyDescent="0.25">
      <c r="A54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54" s="11"/>
      <c r="C54" s="2" t="str">
        <f t="shared" ca="1" si="3"/>
        <v xml:space="preserve"> </v>
      </c>
      <c r="D54" s="2" t="str">
        <f t="shared" ca="1" si="4"/>
        <v xml:space="preserve"> </v>
      </c>
      <c r="E54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54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</row>
    <row r="55" spans="1:19" x14ac:dyDescent="0.25">
      <c r="A55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55" s="11"/>
      <c r="C55" s="2" t="str">
        <f t="shared" ca="1" si="3"/>
        <v xml:space="preserve"> </v>
      </c>
      <c r="D55" s="2" t="str">
        <f t="shared" ca="1" si="4"/>
        <v xml:space="preserve"> </v>
      </c>
      <c r="E55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55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</row>
    <row r="56" spans="1:19" x14ac:dyDescent="0.25">
      <c r="A56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56" s="11"/>
      <c r="C56" s="2" t="str">
        <f t="shared" ca="1" si="3"/>
        <v xml:space="preserve"> </v>
      </c>
      <c r="D56" s="2" t="str">
        <f t="shared" ca="1" si="4"/>
        <v xml:space="preserve"> </v>
      </c>
      <c r="E56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56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</row>
    <row r="57" spans="1:19" x14ac:dyDescent="0.25">
      <c r="A57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57" s="11"/>
      <c r="C57" s="2" t="str">
        <f t="shared" ca="1" si="3"/>
        <v xml:space="preserve"> </v>
      </c>
      <c r="D57" s="2" t="str">
        <f t="shared" ca="1" si="4"/>
        <v xml:space="preserve"> </v>
      </c>
      <c r="E57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57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</row>
    <row r="58" spans="1:19" x14ac:dyDescent="0.25">
      <c r="A58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58" s="11"/>
      <c r="C58" s="2" t="str">
        <f t="shared" ca="1" si="3"/>
        <v xml:space="preserve"> </v>
      </c>
      <c r="D58" s="2" t="str">
        <f t="shared" ca="1" si="4"/>
        <v xml:space="preserve"> </v>
      </c>
      <c r="E58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58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1:19" x14ac:dyDescent="0.25">
      <c r="A59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59" s="11"/>
      <c r="C59" s="2" t="str">
        <f t="shared" ca="1" si="3"/>
        <v xml:space="preserve"> </v>
      </c>
      <c r="D59" s="2" t="str">
        <f t="shared" ca="1" si="4"/>
        <v xml:space="preserve"> </v>
      </c>
      <c r="E59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59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</row>
    <row r="60" spans="1:19" x14ac:dyDescent="0.25">
      <c r="A60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60" s="11"/>
      <c r="C60" s="2" t="str">
        <f t="shared" ca="1" si="3"/>
        <v xml:space="preserve"> </v>
      </c>
      <c r="D60" s="2" t="str">
        <f t="shared" ca="1" si="4"/>
        <v xml:space="preserve"> </v>
      </c>
      <c r="E60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60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1:19" x14ac:dyDescent="0.25">
      <c r="A61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61" s="11"/>
      <c r="C61" s="2" t="str">
        <f t="shared" ca="1" si="3"/>
        <v xml:space="preserve"> </v>
      </c>
      <c r="D61" s="2" t="str">
        <f t="shared" ca="1" si="4"/>
        <v xml:space="preserve"> </v>
      </c>
      <c r="E61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61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</row>
    <row r="62" spans="1:19" x14ac:dyDescent="0.25">
      <c r="A62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62" s="11"/>
      <c r="C62" s="2" t="str">
        <f t="shared" ca="1" si="3"/>
        <v xml:space="preserve"> </v>
      </c>
      <c r="D62" s="2" t="str">
        <f t="shared" ca="1" si="4"/>
        <v xml:space="preserve"> </v>
      </c>
      <c r="E62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62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</row>
    <row r="63" spans="1:19" x14ac:dyDescent="0.25">
      <c r="A63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63" s="11"/>
      <c r="C63" s="2" t="str">
        <f t="shared" ca="1" si="3"/>
        <v xml:space="preserve"> </v>
      </c>
      <c r="D63" s="2" t="str">
        <f t="shared" ca="1" si="4"/>
        <v xml:space="preserve"> </v>
      </c>
      <c r="E63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63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</row>
    <row r="64" spans="1:19" x14ac:dyDescent="0.25">
      <c r="A64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64" s="11"/>
      <c r="C64" s="2" t="str">
        <f t="shared" ca="1" si="3"/>
        <v xml:space="preserve"> </v>
      </c>
      <c r="D64" s="2" t="str">
        <f t="shared" ca="1" si="4"/>
        <v xml:space="preserve"> </v>
      </c>
      <c r="E64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64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</row>
    <row r="65" spans="1:19" x14ac:dyDescent="0.25">
      <c r="A65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65" s="11"/>
      <c r="C65" s="2" t="str">
        <f t="shared" ca="1" si="3"/>
        <v xml:space="preserve"> </v>
      </c>
      <c r="D65" s="2" t="str">
        <f t="shared" ca="1" si="4"/>
        <v xml:space="preserve"> </v>
      </c>
      <c r="E65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65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</row>
    <row r="66" spans="1:19" x14ac:dyDescent="0.25">
      <c r="A66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66" s="11"/>
      <c r="C66" s="2" t="str">
        <f t="shared" ca="1" si="3"/>
        <v xml:space="preserve"> </v>
      </c>
      <c r="D66" s="2" t="str">
        <f t="shared" ca="1" si="4"/>
        <v xml:space="preserve"> </v>
      </c>
      <c r="E66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66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</row>
    <row r="67" spans="1:19" x14ac:dyDescent="0.25">
      <c r="A67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67" s="11"/>
      <c r="C67" s="2" t="str">
        <f t="shared" ref="C67:C100" ca="1" si="5">IF((ROW()-2)&gt;Number_of_Inventory_Slots," ",RANDBETWEEN(1,100))</f>
        <v xml:space="preserve"> </v>
      </c>
      <c r="D67" s="2" t="str">
        <f t="shared" ref="D67:D100" ca="1" si="6">IF((ROW()-2)&gt;Number_of_Inventory_Slots," ",IF(RANDBETWEEN(1,100)&gt;Chance_for_Major_Item,"Minor","Major"))</f>
        <v xml:space="preserve"> </v>
      </c>
      <c r="E67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67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</row>
    <row r="68" spans="1:19" x14ac:dyDescent="0.25">
      <c r="A68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68" s="11"/>
      <c r="C68" s="2" t="str">
        <f t="shared" ca="1" si="5"/>
        <v xml:space="preserve"> </v>
      </c>
      <c r="D68" s="2" t="str">
        <f t="shared" ca="1" si="6"/>
        <v xml:space="preserve"> </v>
      </c>
      <c r="E68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68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</row>
    <row r="69" spans="1:19" x14ac:dyDescent="0.25">
      <c r="A69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69" s="11"/>
      <c r="C69" s="2" t="str">
        <f t="shared" ca="1" si="5"/>
        <v xml:space="preserve"> </v>
      </c>
      <c r="D69" s="2" t="str">
        <f t="shared" ca="1" si="6"/>
        <v xml:space="preserve"> </v>
      </c>
      <c r="E69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69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</row>
    <row r="70" spans="1:19" x14ac:dyDescent="0.25">
      <c r="A70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70" s="11"/>
      <c r="C70" s="2" t="str">
        <f t="shared" ca="1" si="5"/>
        <v xml:space="preserve"> </v>
      </c>
      <c r="D70" s="2" t="str">
        <f t="shared" ca="1" si="6"/>
        <v xml:space="preserve"> </v>
      </c>
      <c r="E70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70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1:19" x14ac:dyDescent="0.25">
      <c r="A71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71" s="11"/>
      <c r="C71" s="2" t="str">
        <f t="shared" ca="1" si="5"/>
        <v xml:space="preserve"> </v>
      </c>
      <c r="D71" s="2" t="str">
        <f t="shared" ca="1" si="6"/>
        <v xml:space="preserve"> </v>
      </c>
      <c r="E71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71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</row>
    <row r="72" spans="1:19" x14ac:dyDescent="0.25">
      <c r="A72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72" s="11"/>
      <c r="C72" s="2" t="str">
        <f t="shared" ca="1" si="5"/>
        <v xml:space="preserve"> </v>
      </c>
      <c r="D72" s="2" t="str">
        <f t="shared" ca="1" si="6"/>
        <v xml:space="preserve"> </v>
      </c>
      <c r="E72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72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</row>
    <row r="73" spans="1:19" x14ac:dyDescent="0.25">
      <c r="A73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73" s="11"/>
      <c r="C73" s="2" t="str">
        <f t="shared" ca="1" si="5"/>
        <v xml:space="preserve"> </v>
      </c>
      <c r="D73" s="2" t="str">
        <f t="shared" ca="1" si="6"/>
        <v xml:space="preserve"> </v>
      </c>
      <c r="E73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73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</row>
    <row r="74" spans="1:19" x14ac:dyDescent="0.25">
      <c r="A74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74" s="11"/>
      <c r="C74" s="2" t="str">
        <f t="shared" ca="1" si="5"/>
        <v xml:space="preserve"> </v>
      </c>
      <c r="D74" s="2" t="str">
        <f t="shared" ca="1" si="6"/>
        <v xml:space="preserve"> </v>
      </c>
      <c r="E74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74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</row>
    <row r="75" spans="1:19" x14ac:dyDescent="0.25">
      <c r="A75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75" s="11"/>
      <c r="C75" s="2" t="str">
        <f t="shared" ca="1" si="5"/>
        <v xml:space="preserve"> </v>
      </c>
      <c r="D75" s="2" t="str">
        <f t="shared" ca="1" si="6"/>
        <v xml:space="preserve"> </v>
      </c>
      <c r="E75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75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</row>
    <row r="76" spans="1:19" x14ac:dyDescent="0.25">
      <c r="A76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76" s="11"/>
      <c r="C76" s="2" t="str">
        <f t="shared" ca="1" si="5"/>
        <v xml:space="preserve"> </v>
      </c>
      <c r="D76" s="2" t="str">
        <f t="shared" ca="1" si="6"/>
        <v xml:space="preserve"> </v>
      </c>
      <c r="E76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76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</row>
    <row r="77" spans="1:19" x14ac:dyDescent="0.25">
      <c r="A77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77" s="11"/>
      <c r="C77" s="2" t="str">
        <f t="shared" ca="1" si="5"/>
        <v xml:space="preserve"> </v>
      </c>
      <c r="D77" s="2" t="str">
        <f t="shared" ca="1" si="6"/>
        <v xml:space="preserve"> </v>
      </c>
      <c r="E77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77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</row>
    <row r="78" spans="1:19" x14ac:dyDescent="0.25">
      <c r="A78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78" s="11"/>
      <c r="C78" s="2" t="str">
        <f t="shared" ca="1" si="5"/>
        <v xml:space="preserve"> </v>
      </c>
      <c r="D78" s="2" t="str">
        <f t="shared" ca="1" si="6"/>
        <v xml:space="preserve"> </v>
      </c>
      <c r="E78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78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</row>
    <row r="79" spans="1:19" x14ac:dyDescent="0.25">
      <c r="A79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79" s="11"/>
      <c r="C79" s="2" t="str">
        <f t="shared" ca="1" si="5"/>
        <v xml:space="preserve"> </v>
      </c>
      <c r="D79" s="2" t="str">
        <f t="shared" ca="1" si="6"/>
        <v xml:space="preserve"> </v>
      </c>
      <c r="E79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79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</row>
    <row r="80" spans="1:19" x14ac:dyDescent="0.25">
      <c r="A80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80" s="11"/>
      <c r="C80" s="2" t="str">
        <f t="shared" ca="1" si="5"/>
        <v xml:space="preserve"> </v>
      </c>
      <c r="D80" s="2" t="str">
        <f t="shared" ca="1" si="6"/>
        <v xml:space="preserve"> </v>
      </c>
      <c r="E80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80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</row>
    <row r="81" spans="1:19" x14ac:dyDescent="0.25">
      <c r="A81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81" s="11"/>
      <c r="C81" s="2" t="str">
        <f t="shared" ca="1" si="5"/>
        <v xml:space="preserve"> </v>
      </c>
      <c r="D81" s="2" t="str">
        <f t="shared" ca="1" si="6"/>
        <v xml:space="preserve"> </v>
      </c>
      <c r="E81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81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</row>
    <row r="82" spans="1:19" x14ac:dyDescent="0.25">
      <c r="A82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82" s="11"/>
      <c r="C82" s="2" t="str">
        <f t="shared" ca="1" si="5"/>
        <v xml:space="preserve"> </v>
      </c>
      <c r="D82" s="2" t="str">
        <f t="shared" ca="1" si="6"/>
        <v xml:space="preserve"> </v>
      </c>
      <c r="E82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82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</row>
    <row r="83" spans="1:19" x14ac:dyDescent="0.25">
      <c r="A83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83" s="11"/>
      <c r="C83" s="2" t="str">
        <f t="shared" ca="1" si="5"/>
        <v xml:space="preserve"> </v>
      </c>
      <c r="D83" s="2" t="str">
        <f t="shared" ca="1" si="6"/>
        <v xml:space="preserve"> </v>
      </c>
      <c r="E83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83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</row>
    <row r="84" spans="1:19" x14ac:dyDescent="0.25">
      <c r="A84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84" s="11"/>
      <c r="C84" s="2" t="str">
        <f t="shared" ca="1" si="5"/>
        <v xml:space="preserve"> </v>
      </c>
      <c r="D84" s="2" t="str">
        <f t="shared" ca="1" si="6"/>
        <v xml:space="preserve"> </v>
      </c>
      <c r="E84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84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</row>
    <row r="85" spans="1:19" x14ac:dyDescent="0.25">
      <c r="A85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85" s="11"/>
      <c r="C85" s="2" t="str">
        <f t="shared" ca="1" si="5"/>
        <v xml:space="preserve"> </v>
      </c>
      <c r="D85" s="2" t="str">
        <f t="shared" ca="1" si="6"/>
        <v xml:space="preserve"> </v>
      </c>
      <c r="E85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85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</row>
    <row r="86" spans="1:19" x14ac:dyDescent="0.25">
      <c r="A86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86" s="11"/>
      <c r="C86" s="2" t="str">
        <f t="shared" ca="1" si="5"/>
        <v xml:space="preserve"> </v>
      </c>
      <c r="D86" s="2" t="str">
        <f t="shared" ca="1" si="6"/>
        <v xml:space="preserve"> </v>
      </c>
      <c r="E86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86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</row>
    <row r="87" spans="1:19" x14ac:dyDescent="0.25">
      <c r="A87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87" s="11"/>
      <c r="C87" s="2" t="str">
        <f t="shared" ca="1" si="5"/>
        <v xml:space="preserve"> </v>
      </c>
      <c r="D87" s="2" t="str">
        <f t="shared" ca="1" si="6"/>
        <v xml:space="preserve"> </v>
      </c>
      <c r="E87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87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</row>
    <row r="88" spans="1:19" x14ac:dyDescent="0.25">
      <c r="A88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88" s="11"/>
      <c r="C88" s="2" t="str">
        <f t="shared" ca="1" si="5"/>
        <v xml:space="preserve"> </v>
      </c>
      <c r="D88" s="2" t="str">
        <f t="shared" ca="1" si="6"/>
        <v xml:space="preserve"> </v>
      </c>
      <c r="E88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88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</row>
    <row r="89" spans="1:19" x14ac:dyDescent="0.25">
      <c r="A89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89" s="11"/>
      <c r="C89" s="2" t="str">
        <f t="shared" ca="1" si="5"/>
        <v xml:space="preserve"> </v>
      </c>
      <c r="D89" s="2" t="str">
        <f t="shared" ca="1" si="6"/>
        <v xml:space="preserve"> </v>
      </c>
      <c r="E89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89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</row>
    <row r="90" spans="1:19" x14ac:dyDescent="0.25">
      <c r="A90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90" s="11"/>
      <c r="C90" s="2" t="str">
        <f t="shared" ca="1" si="5"/>
        <v xml:space="preserve"> </v>
      </c>
      <c r="D90" s="2" t="str">
        <f t="shared" ca="1" si="6"/>
        <v xml:space="preserve"> </v>
      </c>
      <c r="E90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90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</row>
    <row r="91" spans="1:19" x14ac:dyDescent="0.25">
      <c r="A91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91" s="11"/>
      <c r="C91" s="2" t="str">
        <f t="shared" ca="1" si="5"/>
        <v xml:space="preserve"> </v>
      </c>
      <c r="D91" s="2" t="str">
        <f t="shared" ca="1" si="6"/>
        <v xml:space="preserve"> </v>
      </c>
      <c r="E91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91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</row>
    <row r="92" spans="1:19" x14ac:dyDescent="0.25">
      <c r="A92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92" s="11"/>
      <c r="C92" s="2" t="str">
        <f t="shared" ca="1" si="5"/>
        <v xml:space="preserve"> </v>
      </c>
      <c r="D92" s="2" t="str">
        <f t="shared" ca="1" si="6"/>
        <v xml:space="preserve"> </v>
      </c>
      <c r="E92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92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</row>
    <row r="93" spans="1:19" x14ac:dyDescent="0.25">
      <c r="A93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93" s="11"/>
      <c r="C93" s="2" t="str">
        <f t="shared" ca="1" si="5"/>
        <v xml:space="preserve"> </v>
      </c>
      <c r="D93" s="2" t="str">
        <f t="shared" ca="1" si="6"/>
        <v xml:space="preserve"> </v>
      </c>
      <c r="E93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93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</row>
    <row r="94" spans="1:19" x14ac:dyDescent="0.25">
      <c r="A94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94" s="11"/>
      <c r="C94" s="2" t="str">
        <f t="shared" ca="1" si="5"/>
        <v xml:space="preserve"> </v>
      </c>
      <c r="D94" s="2" t="str">
        <f t="shared" ca="1" si="6"/>
        <v xml:space="preserve"> </v>
      </c>
      <c r="E94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94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</row>
    <row r="95" spans="1:19" x14ac:dyDescent="0.25">
      <c r="A95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95" s="11"/>
      <c r="C95" s="2" t="str">
        <f t="shared" ca="1" si="5"/>
        <v xml:space="preserve"> </v>
      </c>
      <c r="D95" s="2" t="str">
        <f t="shared" ca="1" si="6"/>
        <v xml:space="preserve"> </v>
      </c>
      <c r="E95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95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</row>
    <row r="96" spans="1:19" x14ac:dyDescent="0.25">
      <c r="A96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96" s="11"/>
      <c r="C96" s="2" t="str">
        <f t="shared" ca="1" si="5"/>
        <v xml:space="preserve"> </v>
      </c>
      <c r="D96" s="2" t="str">
        <f t="shared" ca="1" si="6"/>
        <v xml:space="preserve"> </v>
      </c>
      <c r="E96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96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</row>
    <row r="97" spans="1:19" x14ac:dyDescent="0.25">
      <c r="A97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97" s="11"/>
      <c r="C97" s="2" t="str">
        <f t="shared" ca="1" si="5"/>
        <v xml:space="preserve"> </v>
      </c>
      <c r="D97" s="2" t="str">
        <f t="shared" ca="1" si="6"/>
        <v xml:space="preserve"> </v>
      </c>
      <c r="E97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97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</row>
    <row r="98" spans="1:19" x14ac:dyDescent="0.25">
      <c r="A98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98" s="11"/>
      <c r="C98" s="2" t="str">
        <f t="shared" ca="1" si="5"/>
        <v xml:space="preserve"> </v>
      </c>
      <c r="D98" s="2" t="str">
        <f t="shared" ca="1" si="6"/>
        <v xml:space="preserve"> </v>
      </c>
      <c r="E98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98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</row>
    <row r="99" spans="1:19" x14ac:dyDescent="0.25">
      <c r="A99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99" s="11"/>
      <c r="C99" s="2" t="str">
        <f t="shared" ca="1" si="5"/>
        <v xml:space="preserve"> </v>
      </c>
      <c r="D99" s="2" t="str">
        <f t="shared" ca="1" si="6"/>
        <v xml:space="preserve"> </v>
      </c>
      <c r="E99" s="2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99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</row>
    <row r="100" spans="1:19" x14ac:dyDescent="0.25">
      <c r="A100" s="1" t="str">
        <f>IF((ROW()-2)&gt;Number_of_Inventory_Slots," ", IF(Table8[[#This Row],[Major or Minor]]="Minor",INDEX('Minor Magic Item Tables'!$A$1:$E$200,Table8[[#This Row],[Item Roll]]+2,Table8[[#This Row],[Table Number]]),INDEX('Major Magic Item Tables'!$A$1:$E$200,Table8[[#This Row],[Item Roll]]+2,Table8[[#This Row],[Table Number]])))</f>
        <v xml:space="preserve"> </v>
      </c>
      <c r="B100" s="28"/>
      <c r="C100" s="9" t="str">
        <f t="shared" ca="1" si="5"/>
        <v xml:space="preserve"> </v>
      </c>
      <c r="D100" s="9" t="str">
        <f t="shared" ca="1" si="6"/>
        <v xml:space="preserve"> </v>
      </c>
      <c r="E100" s="9" t="str">
        <f>IF((ROW()-2)&gt;Number_of_Inventory_Slots," ",IF(Table8[[#This Row],[Major or Minor]]="Minor",MAX(1,MIN(5,VLOOKUP(LOOKUP(Tier,Normal_Rarity_Per_Tier[Tier],Normal_Rarity_Per_Tier[Rarity]),Rarity_to_Number_Table[],2,FALSE)+LOOKUP(Table8[[#This Row],[Table Roll]],Distribution_Chances_Roll_Table[Bottom of Roll],Distribution_Chances_Roll_Table[Step Above or Below Normal]))),MAX(2,MIN(5,VLOOKUP(LOOKUP(Tier,Normal_Rarity_Per_Tier[Tier],Normal_Rarity_Per_Tier[Rarity]),Rarity_to_Number_Table[],2,FALSE)+LOOKUP(Table8[[#This Row],[Table Roll]],Distribution_Chances_Roll_Table[Bottom of Roll],Distribution_Chances_Roll_Table[Step Above or Below Normal])))))</f>
        <v xml:space="preserve"> </v>
      </c>
      <c r="F100" s="3" t="str">
        <f ca="1">IF((ROW()-2)&gt;Number_of_Inventory_Slots," ",IF(Table8[[#This Row],[Major or Minor]]="Minor",RANDBETWEEN(1,INDEX('Minor Magic Item Tables'!$A$1:$E$1,1,Table8[[#This Row],[Table Number]] )),RANDBETWEEN(1,INDEX('Major Magic Item Tables'!$A$1:$E$1,1,Table8[[#This Row],[Table Number]] ))))</f>
        <v xml:space="preserve"> </v>
      </c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</row>
    <row r="101" spans="1:19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</row>
  </sheetData>
  <mergeCells count="62">
    <mergeCell ref="N1:O1"/>
    <mergeCell ref="H1:I1"/>
    <mergeCell ref="K1:L1"/>
    <mergeCell ref="M7:N7"/>
    <mergeCell ref="H33:L33"/>
    <mergeCell ref="M25:Q25"/>
    <mergeCell ref="M26:Q26"/>
    <mergeCell ref="M27:Q27"/>
    <mergeCell ref="M24:Q24"/>
    <mergeCell ref="M8:N8"/>
    <mergeCell ref="M9:N9"/>
    <mergeCell ref="M10:N10"/>
    <mergeCell ref="M11:N11"/>
    <mergeCell ref="M12:N12"/>
    <mergeCell ref="M13:N13"/>
    <mergeCell ref="M14:N14"/>
    <mergeCell ref="H34:L34"/>
    <mergeCell ref="H35:L35"/>
    <mergeCell ref="H19:J19"/>
    <mergeCell ref="A1:F1"/>
    <mergeCell ref="H28:L28"/>
    <mergeCell ref="H29:L29"/>
    <mergeCell ref="H30:L30"/>
    <mergeCell ref="H31:L31"/>
    <mergeCell ref="H32:L32"/>
    <mergeCell ref="H23:L23"/>
    <mergeCell ref="H24:L24"/>
    <mergeCell ref="H25:L25"/>
    <mergeCell ref="H26:L26"/>
    <mergeCell ref="H27:L27"/>
    <mergeCell ref="H11:K11"/>
    <mergeCell ref="M19:N19"/>
    <mergeCell ref="M34:Q34"/>
    <mergeCell ref="M35:Q35"/>
    <mergeCell ref="M28:Q28"/>
    <mergeCell ref="M29:Q29"/>
    <mergeCell ref="M30:Q30"/>
    <mergeCell ref="M31:Q31"/>
    <mergeCell ref="M32:Q32"/>
    <mergeCell ref="M33:Q33"/>
    <mergeCell ref="O19:Q19"/>
    <mergeCell ref="O20:Q20"/>
    <mergeCell ref="M23:Q23"/>
    <mergeCell ref="H21:Q21"/>
    <mergeCell ref="H22:L22"/>
    <mergeCell ref="M22:Q22"/>
    <mergeCell ref="M20:N20"/>
    <mergeCell ref="O17:Q17"/>
    <mergeCell ref="O18:Q18"/>
    <mergeCell ref="M15:N15"/>
    <mergeCell ref="M16:N16"/>
    <mergeCell ref="M17:N17"/>
    <mergeCell ref="M18:N18"/>
    <mergeCell ref="O13:Q13"/>
    <mergeCell ref="O14:Q14"/>
    <mergeCell ref="O15:Q15"/>
    <mergeCell ref="O16:Q16"/>
    <mergeCell ref="O8:Q8"/>
    <mergeCell ref="O9:Q9"/>
    <mergeCell ref="O10:Q10"/>
    <mergeCell ref="O11:Q11"/>
    <mergeCell ref="O12:Q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o">
                <anchor moveWithCells="1" siz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9</xdr:col>
                    <xdr:colOff>0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6CD49-4D0E-413C-B59E-11B18053E378}">
  <sheetPr codeName="Sheet2"/>
  <dimension ref="A1:I39"/>
  <sheetViews>
    <sheetView workbookViewId="0">
      <selection activeCell="R18" sqref="R18"/>
    </sheetView>
  </sheetViews>
  <sheetFormatPr defaultRowHeight="15" x14ac:dyDescent="0.25"/>
  <cols>
    <col min="1" max="1" width="17.42578125" style="17" customWidth="1"/>
    <col min="2" max="2" width="20.7109375" style="17" bestFit="1" customWidth="1"/>
    <col min="3" max="3" width="23" style="17" bestFit="1" customWidth="1"/>
    <col min="4" max="4" width="9.140625" style="17"/>
    <col min="5" max="5" width="28.42578125" style="17" bestFit="1" customWidth="1"/>
    <col min="6" max="6" width="18.42578125" style="17" customWidth="1"/>
    <col min="7" max="7" width="20.85546875" style="17" customWidth="1"/>
    <col min="8" max="16384" width="9.140625" style="17"/>
  </cols>
  <sheetData>
    <row r="1" spans="1:9" ht="45" x14ac:dyDescent="0.25">
      <c r="A1" s="110" t="s">
        <v>0</v>
      </c>
      <c r="B1" s="110"/>
      <c r="C1" s="110"/>
      <c r="D1" s="12"/>
      <c r="E1" s="13" t="s">
        <v>31</v>
      </c>
      <c r="F1" s="26">
        <v>4</v>
      </c>
      <c r="G1" s="15"/>
      <c r="H1" s="16"/>
      <c r="I1" s="12"/>
    </row>
    <row r="2" spans="1:9" x14ac:dyDescent="0.25">
      <c r="A2" s="18" t="s">
        <v>1</v>
      </c>
      <c r="B2" s="18" t="s">
        <v>2</v>
      </c>
      <c r="C2" s="18" t="s">
        <v>3</v>
      </c>
      <c r="D2" s="12"/>
      <c r="E2" s="12"/>
      <c r="F2" s="12"/>
      <c r="G2" s="15"/>
      <c r="H2" s="16"/>
      <c r="I2" s="12"/>
    </row>
    <row r="3" spans="1:9" ht="30" x14ac:dyDescent="0.25">
      <c r="A3" s="18">
        <v>1</v>
      </c>
      <c r="B3" s="18">
        <v>1</v>
      </c>
      <c r="C3" s="11">
        <v>4</v>
      </c>
      <c r="D3" s="12"/>
      <c r="E3" s="13" t="s">
        <v>32</v>
      </c>
      <c r="F3" s="11">
        <v>0</v>
      </c>
      <c r="G3" s="15"/>
      <c r="H3" s="16"/>
      <c r="I3" s="12"/>
    </row>
    <row r="4" spans="1:9" x14ac:dyDescent="0.25">
      <c r="A4" s="18">
        <v>2</v>
      </c>
      <c r="B4" s="11">
        <v>5</v>
      </c>
      <c r="C4" s="11">
        <v>10</v>
      </c>
      <c r="D4" s="12"/>
      <c r="E4" s="12"/>
      <c r="F4" s="12"/>
      <c r="G4" s="12"/>
      <c r="H4" s="12"/>
      <c r="I4" s="12"/>
    </row>
    <row r="5" spans="1:9" x14ac:dyDescent="0.25">
      <c r="A5" s="18">
        <v>3</v>
      </c>
      <c r="B5" s="11">
        <v>11</v>
      </c>
      <c r="C5" s="11">
        <v>16</v>
      </c>
      <c r="D5" s="12"/>
      <c r="E5" s="18" t="s">
        <v>66</v>
      </c>
      <c r="F5" s="11">
        <v>25</v>
      </c>
      <c r="G5" s="12"/>
      <c r="H5" s="12"/>
      <c r="I5" s="12"/>
    </row>
    <row r="6" spans="1:9" x14ac:dyDescent="0.25">
      <c r="A6" s="18">
        <v>4</v>
      </c>
      <c r="B6" s="11">
        <v>17</v>
      </c>
      <c r="C6" s="18">
        <v>20</v>
      </c>
      <c r="D6" s="12"/>
      <c r="E6" s="12"/>
      <c r="F6" s="12"/>
      <c r="G6" s="12"/>
      <c r="H6" s="12"/>
      <c r="I6" s="12"/>
    </row>
    <row r="7" spans="1:9" x14ac:dyDescent="0.25">
      <c r="A7" s="16"/>
      <c r="B7" s="16"/>
      <c r="C7" s="16"/>
      <c r="D7" s="12"/>
      <c r="E7" s="111" t="s">
        <v>12</v>
      </c>
      <c r="F7" s="112"/>
      <c r="G7" s="112"/>
      <c r="H7" s="113"/>
      <c r="I7" s="12"/>
    </row>
    <row r="8" spans="1:9" x14ac:dyDescent="0.25">
      <c r="A8" s="111" t="s">
        <v>4</v>
      </c>
      <c r="B8" s="112"/>
      <c r="C8" s="19"/>
      <c r="D8" s="12"/>
      <c r="E8" s="18" t="s">
        <v>13</v>
      </c>
      <c r="F8" s="18" t="s">
        <v>15</v>
      </c>
      <c r="G8" s="18" t="s">
        <v>14</v>
      </c>
      <c r="H8" s="18" t="s">
        <v>16</v>
      </c>
      <c r="I8" s="12"/>
    </row>
    <row r="9" spans="1:9" x14ac:dyDescent="0.25">
      <c r="A9" s="18" t="s">
        <v>1</v>
      </c>
      <c r="B9" s="18" t="s">
        <v>6</v>
      </c>
      <c r="C9" s="12"/>
      <c r="D9" s="12"/>
      <c r="E9" s="18">
        <v>-3</v>
      </c>
      <c r="F9" s="18">
        <v>0</v>
      </c>
      <c r="G9" s="11">
        <v>4</v>
      </c>
      <c r="H9" s="18" t="str">
        <f t="shared" ref="H9:H15" si="0">G9-(F9-1)&amp;"%"</f>
        <v>5%</v>
      </c>
      <c r="I9" s="12"/>
    </row>
    <row r="10" spans="1:9" x14ac:dyDescent="0.25">
      <c r="A10" s="18">
        <v>1</v>
      </c>
      <c r="B10" s="11" t="s">
        <v>5</v>
      </c>
      <c r="C10" s="12"/>
      <c r="D10" s="12"/>
      <c r="E10" s="18">
        <v>-2</v>
      </c>
      <c r="F10" s="11">
        <v>5</v>
      </c>
      <c r="G10" s="11">
        <v>9</v>
      </c>
      <c r="H10" s="18" t="str">
        <f t="shared" si="0"/>
        <v>5%</v>
      </c>
      <c r="I10" s="12"/>
    </row>
    <row r="11" spans="1:9" x14ac:dyDescent="0.25">
      <c r="A11" s="18">
        <v>2</v>
      </c>
      <c r="B11" s="11" t="s">
        <v>7</v>
      </c>
      <c r="C11" s="12"/>
      <c r="D11" s="12"/>
      <c r="E11" s="18">
        <v>-1</v>
      </c>
      <c r="F11" s="11">
        <v>10</v>
      </c>
      <c r="G11" s="11">
        <v>14</v>
      </c>
      <c r="H11" s="18" t="str">
        <f t="shared" si="0"/>
        <v>5%</v>
      </c>
      <c r="I11" s="12"/>
    </row>
    <row r="12" spans="1:9" x14ac:dyDescent="0.25">
      <c r="A12" s="18">
        <v>3</v>
      </c>
      <c r="B12" s="11" t="s">
        <v>8</v>
      </c>
      <c r="C12" s="12"/>
      <c r="D12" s="12"/>
      <c r="E12" s="18">
        <v>0</v>
      </c>
      <c r="F12" s="11">
        <v>15</v>
      </c>
      <c r="G12" s="11">
        <v>19</v>
      </c>
      <c r="H12" s="18" t="str">
        <f t="shared" si="0"/>
        <v>5%</v>
      </c>
      <c r="I12" s="12"/>
    </row>
    <row r="13" spans="1:9" x14ac:dyDescent="0.25">
      <c r="A13" s="18">
        <v>4</v>
      </c>
      <c r="B13" s="11" t="s">
        <v>9</v>
      </c>
      <c r="C13" s="12"/>
      <c r="D13" s="12"/>
      <c r="E13" s="18">
        <v>1</v>
      </c>
      <c r="F13" s="11">
        <v>20</v>
      </c>
      <c r="G13" s="11">
        <v>24</v>
      </c>
      <c r="H13" s="18" t="str">
        <f t="shared" si="0"/>
        <v>5%</v>
      </c>
      <c r="I13" s="12"/>
    </row>
    <row r="14" spans="1:9" x14ac:dyDescent="0.25">
      <c r="A14" s="12"/>
      <c r="B14" s="12"/>
      <c r="C14" s="12"/>
      <c r="D14" s="12"/>
      <c r="E14" s="18">
        <v>2</v>
      </c>
      <c r="F14" s="11">
        <v>25</v>
      </c>
      <c r="G14" s="11">
        <v>29</v>
      </c>
      <c r="H14" s="18" t="str">
        <f t="shared" si="0"/>
        <v>5%</v>
      </c>
      <c r="I14" s="12"/>
    </row>
    <row r="15" spans="1:9" ht="30" customHeight="1" x14ac:dyDescent="0.25">
      <c r="A15" s="13" t="s">
        <v>64</v>
      </c>
      <c r="B15" s="11">
        <v>0.4</v>
      </c>
      <c r="C15" s="12"/>
      <c r="D15" s="12"/>
      <c r="E15" s="18">
        <v>3</v>
      </c>
      <c r="F15" s="11">
        <v>30</v>
      </c>
      <c r="G15" s="18">
        <v>34</v>
      </c>
      <c r="H15" s="18" t="str">
        <f t="shared" si="0"/>
        <v>5%</v>
      </c>
      <c r="I15" s="12"/>
    </row>
    <row r="16" spans="1:9" x14ac:dyDescent="0.25">
      <c r="A16" s="110" t="s">
        <v>10</v>
      </c>
      <c r="B16" s="110"/>
      <c r="D16" s="12"/>
      <c r="E16" s="12"/>
      <c r="F16" s="12"/>
      <c r="G16" s="12"/>
      <c r="H16" s="12"/>
      <c r="I16" s="12"/>
    </row>
    <row r="17" spans="1:9" ht="30" x14ac:dyDescent="0.25">
      <c r="A17" s="13" t="s">
        <v>11</v>
      </c>
      <c r="B17" s="18" t="s">
        <v>65</v>
      </c>
      <c r="C17" s="20" t="s">
        <v>52</v>
      </c>
      <c r="D17" s="12"/>
      <c r="E17" s="12"/>
      <c r="F17" s="12"/>
      <c r="G17" s="12"/>
      <c r="H17" s="12"/>
      <c r="I17" s="12"/>
    </row>
    <row r="18" spans="1:9" x14ac:dyDescent="0.25">
      <c r="A18" s="11">
        <v>-2</v>
      </c>
      <c r="B18" s="18">
        <f>B19*B15</f>
        <v>8</v>
      </c>
      <c r="C18" s="21">
        <f>ROUND((100/SUM(Distribution_Chances[Chance modifier])*Distribution_Chances[[#This Row],[Chance modifier]]),0)</f>
        <v>8</v>
      </c>
      <c r="D18" s="12"/>
      <c r="E18" s="12"/>
      <c r="F18" s="12"/>
      <c r="G18" s="12"/>
      <c r="H18" s="12"/>
      <c r="I18" s="12"/>
    </row>
    <row r="19" spans="1:9" x14ac:dyDescent="0.25">
      <c r="A19" s="11">
        <v>-1</v>
      </c>
      <c r="B19" s="18">
        <f>B20*B15</f>
        <v>20</v>
      </c>
      <c r="C19" s="14">
        <f>ROUND((100/SUM(Distribution_Chances[Chance modifier])*Distribution_Chances[[#This Row],[Chance modifier]]),0)</f>
        <v>19</v>
      </c>
      <c r="D19" s="12"/>
      <c r="E19" s="12"/>
      <c r="F19" s="12"/>
      <c r="G19" s="12"/>
      <c r="H19" s="12"/>
      <c r="I19" s="12"/>
    </row>
    <row r="20" spans="1:9" x14ac:dyDescent="0.25">
      <c r="A20" s="11">
        <v>0</v>
      </c>
      <c r="B20" s="18">
        <v>50</v>
      </c>
      <c r="C20" s="14">
        <f>ROUND((100/SUM(Distribution_Chances[Chance modifier])*Distribution_Chances[[#This Row],[Chance modifier]]),0)</f>
        <v>47</v>
      </c>
      <c r="D20" s="12"/>
      <c r="E20" s="12"/>
      <c r="F20" s="12"/>
      <c r="G20" s="12"/>
      <c r="H20" s="12"/>
      <c r="I20" s="12"/>
    </row>
    <row r="21" spans="1:9" x14ac:dyDescent="0.25">
      <c r="A21" s="11">
        <v>1</v>
      </c>
      <c r="B21" s="18">
        <f>B20*B15</f>
        <v>20</v>
      </c>
      <c r="C21" s="14">
        <f>ROUND((100/SUM(Distribution_Chances[Chance modifier])*Distribution_Chances[[#This Row],[Chance modifier]]),0)</f>
        <v>19</v>
      </c>
      <c r="D21" s="12"/>
      <c r="E21" s="12"/>
      <c r="F21" s="12"/>
      <c r="G21" s="12"/>
      <c r="H21" s="12"/>
      <c r="I21" s="12"/>
    </row>
    <row r="22" spans="1:9" x14ac:dyDescent="0.25">
      <c r="A22" s="11">
        <v>2</v>
      </c>
      <c r="B22" s="18">
        <f>B21*B15</f>
        <v>8</v>
      </c>
      <c r="C22" s="22">
        <f>ROUND((100/SUM(Distribution_Chances[Chance modifier])*Distribution_Chances[[#This Row],[Chance modifier]]),0)</f>
        <v>8</v>
      </c>
      <c r="D22" s="12"/>
      <c r="E22" s="12"/>
      <c r="F22" s="12"/>
      <c r="G22" s="12"/>
      <c r="H22" s="12"/>
      <c r="I22" s="12"/>
    </row>
    <row r="23" spans="1:9" x14ac:dyDescent="0.25">
      <c r="A23" s="12"/>
      <c r="B23" s="12"/>
      <c r="C23" s="12"/>
      <c r="D23" s="12"/>
      <c r="E23" s="12"/>
      <c r="F23" s="12"/>
      <c r="G23" s="12"/>
      <c r="H23" s="12"/>
      <c r="I23" s="12"/>
    </row>
    <row r="24" spans="1:9" x14ac:dyDescent="0.25">
      <c r="A24" s="114" t="s">
        <v>49</v>
      </c>
      <c r="B24" s="115"/>
      <c r="C24" s="115"/>
      <c r="D24" s="12"/>
      <c r="E24" s="12"/>
      <c r="F24" s="12"/>
      <c r="G24" s="12"/>
      <c r="H24" s="12"/>
      <c r="I24" s="12"/>
    </row>
    <row r="25" spans="1:9" ht="30" x14ac:dyDescent="0.25">
      <c r="A25" s="13" t="s">
        <v>11</v>
      </c>
      <c r="B25" s="18" t="s">
        <v>50</v>
      </c>
      <c r="C25" s="20" t="s">
        <v>51</v>
      </c>
      <c r="D25" s="12"/>
      <c r="E25" s="12"/>
      <c r="F25" s="12"/>
      <c r="G25" s="12"/>
      <c r="H25" s="12"/>
      <c r="I25" s="12"/>
    </row>
    <row r="26" spans="1:9" x14ac:dyDescent="0.25">
      <c r="A26" s="18">
        <f>A18</f>
        <v>-2</v>
      </c>
      <c r="B26" s="18">
        <f>IF(C18=0," ",1)</f>
        <v>1</v>
      </c>
      <c r="C26" s="23">
        <f>IF(Distribution_Chances_Roll_Table[[#This Row],[Bottom of Roll]]=" "," ",Distribution_Chances_Roll_Table[[#This Row],[Bottom of Roll]]+C18-1)</f>
        <v>8</v>
      </c>
      <c r="D26" s="12"/>
      <c r="E26" s="12"/>
      <c r="F26" s="12"/>
      <c r="G26" s="12"/>
      <c r="H26" s="12"/>
      <c r="I26" s="12"/>
    </row>
    <row r="27" spans="1:9" x14ac:dyDescent="0.25">
      <c r="A27" s="18">
        <f>A19</f>
        <v>-1</v>
      </c>
      <c r="B27" s="18">
        <f>IF(C19=0," ",IF(B26=" ",1,C26+1))</f>
        <v>9</v>
      </c>
      <c r="C27" s="24">
        <f>IF(Distribution_Chances_Roll_Table[[#This Row],[Bottom of Roll]]=" "," ",Distribution_Chances_Roll_Table[[#This Row],[Bottom of Roll]]+C19-1)</f>
        <v>27</v>
      </c>
      <c r="D27" s="12"/>
      <c r="E27" s="12"/>
      <c r="F27" s="12"/>
      <c r="G27" s="12"/>
      <c r="H27" s="12"/>
      <c r="I27" s="12"/>
    </row>
    <row r="28" spans="1:9" x14ac:dyDescent="0.25">
      <c r="A28" s="18">
        <f t="shared" ref="A28:A30" si="1">A20</f>
        <v>0</v>
      </c>
      <c r="B28" s="18">
        <f>IF(C20=0," ",IF(B27=" ",1,C27+1))</f>
        <v>28</v>
      </c>
      <c r="C28" s="24">
        <f>IF(Distribution_Chances_Roll_Table[[#This Row],[Bottom of Roll]]=" "," ",Distribution_Chances_Roll_Table[[#This Row],[Bottom of Roll]]+C20-1)</f>
        <v>74</v>
      </c>
      <c r="D28" s="12"/>
      <c r="E28" s="12"/>
      <c r="F28" s="12"/>
      <c r="G28" s="12"/>
      <c r="H28" s="12"/>
      <c r="I28" s="12"/>
    </row>
    <row r="29" spans="1:9" x14ac:dyDescent="0.25">
      <c r="A29" s="18">
        <f t="shared" si="1"/>
        <v>1</v>
      </c>
      <c r="B29" s="18">
        <f>IF(C21=0," ",IF(B28=" ",51,C28+1))</f>
        <v>75</v>
      </c>
      <c r="C29" s="24">
        <f>IF(Distribution_Chances_Roll_Table[[#This Row],[Bottom of Roll]]=" "," ",Distribution_Chances_Roll_Table[[#This Row],[Bottom of Roll]]+C21-1)</f>
        <v>93</v>
      </c>
      <c r="D29" s="12"/>
      <c r="E29" s="12"/>
      <c r="F29" s="12"/>
      <c r="G29" s="12"/>
      <c r="H29" s="12"/>
      <c r="I29" s="12"/>
    </row>
    <row r="30" spans="1:9" x14ac:dyDescent="0.25">
      <c r="A30" s="18">
        <f t="shared" si="1"/>
        <v>2</v>
      </c>
      <c r="B30" s="18">
        <f>IF(C22=0," ",IF(B29=" ",51,C29+1))</f>
        <v>94</v>
      </c>
      <c r="C30" s="25">
        <f>IF(Distribution_Chances_Roll_Table[[#This Row],[Bottom of Roll]]=" "," ",Distribution_Chances_Roll_Table[[#This Row],[Bottom of Roll]]+C22-1)</f>
        <v>101</v>
      </c>
      <c r="D30" s="12"/>
      <c r="E30" s="12"/>
      <c r="F30" s="12"/>
      <c r="G30" s="12"/>
      <c r="H30" s="12"/>
      <c r="I30" s="12"/>
    </row>
    <row r="31" spans="1:9" x14ac:dyDescent="0.25">
      <c r="A31" s="12"/>
      <c r="B31" s="12"/>
      <c r="C31" s="12"/>
      <c r="D31" s="12"/>
      <c r="E31" s="12"/>
      <c r="F31" s="12"/>
      <c r="G31" s="12"/>
      <c r="H31" s="12"/>
      <c r="I31" s="12"/>
    </row>
    <row r="32" spans="1:9" x14ac:dyDescent="0.25">
      <c r="A32" s="110" t="s">
        <v>53</v>
      </c>
      <c r="B32" s="110"/>
      <c r="C32" s="12"/>
      <c r="D32" s="12"/>
      <c r="E32" s="12"/>
      <c r="F32" s="12"/>
      <c r="G32" s="12"/>
      <c r="H32" s="12"/>
      <c r="I32" s="12"/>
    </row>
    <row r="33" spans="1:9" x14ac:dyDescent="0.25">
      <c r="A33" s="18" t="s">
        <v>6</v>
      </c>
      <c r="B33" s="18" t="s">
        <v>55</v>
      </c>
      <c r="C33" s="12"/>
      <c r="D33" s="12"/>
      <c r="E33" s="12"/>
      <c r="F33" s="12"/>
      <c r="G33" s="12"/>
      <c r="H33" s="12"/>
      <c r="I33" s="12"/>
    </row>
    <row r="34" spans="1:9" x14ac:dyDescent="0.25">
      <c r="A34" s="18" t="s">
        <v>54</v>
      </c>
      <c r="B34" s="18">
        <v>1</v>
      </c>
      <c r="C34" s="12"/>
      <c r="D34" s="12"/>
      <c r="E34" s="12"/>
      <c r="F34" s="12"/>
      <c r="G34" s="12"/>
      <c r="H34" s="12"/>
      <c r="I34" s="12"/>
    </row>
    <row r="35" spans="1:9" x14ac:dyDescent="0.25">
      <c r="A35" s="18" t="s">
        <v>5</v>
      </c>
      <c r="B35" s="18">
        <v>2</v>
      </c>
      <c r="C35" s="12"/>
      <c r="D35" s="12"/>
      <c r="E35" s="12"/>
      <c r="F35" s="12"/>
      <c r="G35" s="12"/>
      <c r="H35" s="12"/>
      <c r="I35" s="12"/>
    </row>
    <row r="36" spans="1:9" x14ac:dyDescent="0.25">
      <c r="A36" s="18" t="s">
        <v>7</v>
      </c>
      <c r="B36" s="18">
        <v>3</v>
      </c>
      <c r="C36" s="12"/>
      <c r="D36" s="12"/>
      <c r="E36" s="12"/>
      <c r="F36" s="12"/>
      <c r="G36" s="12"/>
      <c r="H36" s="12"/>
      <c r="I36" s="12"/>
    </row>
    <row r="37" spans="1:9" x14ac:dyDescent="0.25">
      <c r="A37" s="18" t="s">
        <v>8</v>
      </c>
      <c r="B37" s="18">
        <v>4</v>
      </c>
      <c r="C37" s="12"/>
      <c r="D37" s="12"/>
      <c r="E37" s="12"/>
      <c r="F37" s="12"/>
      <c r="G37" s="12"/>
      <c r="H37" s="12"/>
      <c r="I37" s="12"/>
    </row>
    <row r="38" spans="1:9" x14ac:dyDescent="0.25">
      <c r="A38" s="18" t="s">
        <v>9</v>
      </c>
      <c r="B38" s="18">
        <v>5</v>
      </c>
      <c r="C38" s="12"/>
      <c r="D38" s="12"/>
      <c r="E38" s="12"/>
      <c r="F38" s="12"/>
      <c r="G38" s="12"/>
      <c r="H38" s="12"/>
      <c r="I38" s="12"/>
    </row>
    <row r="39" spans="1:9" x14ac:dyDescent="0.25">
      <c r="A39" s="12"/>
      <c r="B39" s="12"/>
      <c r="C39" s="12"/>
      <c r="D39" s="12"/>
      <c r="E39" s="12"/>
      <c r="F39" s="12"/>
      <c r="G39" s="12"/>
      <c r="H39" s="12"/>
      <c r="I39" s="12"/>
    </row>
  </sheetData>
  <sheetProtection sheet="1" objects="1" scenarios="1"/>
  <mergeCells count="6">
    <mergeCell ref="A32:B32"/>
    <mergeCell ref="A1:C1"/>
    <mergeCell ref="A16:B16"/>
    <mergeCell ref="E7:H7"/>
    <mergeCell ref="A24:C24"/>
    <mergeCell ref="A8:B8"/>
  </mergeCells>
  <pageMargins left="0.7" right="0.7" top="0.75" bottom="0.75" header="0.3" footer="0.3"/>
  <drawing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DC1DA-F22D-45E5-B060-97A61E938FC9}">
  <sheetPr codeName="Sheet3"/>
  <dimension ref="A1:J52"/>
  <sheetViews>
    <sheetView topLeftCell="A19" workbookViewId="0">
      <selection activeCell="R18" sqref="R18"/>
    </sheetView>
  </sheetViews>
  <sheetFormatPr defaultRowHeight="15" x14ac:dyDescent="0.25"/>
  <cols>
    <col min="1" max="1" width="48.7109375" style="27" bestFit="1" customWidth="1"/>
    <col min="2" max="2" width="64.42578125" style="27" bestFit="1" customWidth="1"/>
    <col min="3" max="3" width="54" style="27" bestFit="1" customWidth="1"/>
    <col min="4" max="4" width="55.5703125" style="27" bestFit="1" customWidth="1"/>
    <col min="5" max="5" width="56.42578125" style="27" bestFit="1" customWidth="1"/>
    <col min="6" max="6" width="9.140625" style="27"/>
    <col min="7" max="7" width="4" style="27" bestFit="1" customWidth="1"/>
    <col min="8" max="8" width="4.7109375" style="27" customWidth="1"/>
    <col min="9" max="9" width="31" style="27" bestFit="1" customWidth="1"/>
    <col min="10" max="16384" width="9.140625" style="27"/>
  </cols>
  <sheetData>
    <row r="1" spans="1:10" ht="15.75" thickBot="1" x14ac:dyDescent="0.3">
      <c r="A1" s="17">
        <f>ROWS(Minor_Common_Items[])</f>
        <v>46</v>
      </c>
      <c r="B1" s="17">
        <f>ROWS(Minor_Uncommon_Items[])</f>
        <v>35</v>
      </c>
      <c r="C1" s="17">
        <f>ROWS(Minor_Rare_Items[])</f>
        <v>22</v>
      </c>
      <c r="D1" s="17">
        <f>ROWS(Minor_Very_Rare_Items[])</f>
        <v>12</v>
      </c>
      <c r="E1" s="17">
        <f>ROWS(Minor_Legendary_Items[])</f>
        <v>4</v>
      </c>
      <c r="F1" s="12"/>
      <c r="G1" s="12"/>
      <c r="H1" s="12"/>
      <c r="I1" s="12"/>
      <c r="J1" s="12"/>
    </row>
    <row r="2" spans="1:10" ht="15.75" thickBot="1" x14ac:dyDescent="0.3">
      <c r="A2" s="27" t="s">
        <v>34</v>
      </c>
      <c r="B2" s="27" t="s">
        <v>45</v>
      </c>
      <c r="C2" s="27" t="s">
        <v>46</v>
      </c>
      <c r="D2" s="27" t="s">
        <v>57</v>
      </c>
      <c r="E2" s="27" t="s">
        <v>58</v>
      </c>
      <c r="F2" s="12"/>
      <c r="G2" s="117" t="s">
        <v>113</v>
      </c>
      <c r="H2" s="118"/>
      <c r="I2" s="119"/>
      <c r="J2" s="12"/>
    </row>
    <row r="3" spans="1:10" ht="15.75" thickBot="1" x14ac:dyDescent="0.3">
      <c r="A3" s="11" t="s">
        <v>35</v>
      </c>
      <c r="B3" s="11" t="s">
        <v>106</v>
      </c>
      <c r="C3" s="11" t="s">
        <v>162</v>
      </c>
      <c r="D3" s="11" t="s">
        <v>200</v>
      </c>
      <c r="E3" s="11" t="s">
        <v>215</v>
      </c>
      <c r="F3" s="12"/>
      <c r="G3" s="117" t="s">
        <v>114</v>
      </c>
      <c r="H3" s="118"/>
      <c r="I3" s="119"/>
      <c r="J3" s="12"/>
    </row>
    <row r="4" spans="1:10" x14ac:dyDescent="0.25">
      <c r="A4" s="11" t="s">
        <v>36</v>
      </c>
      <c r="B4" s="11" t="s">
        <v>161</v>
      </c>
      <c r="C4" s="11" t="s">
        <v>159</v>
      </c>
      <c r="D4" s="11" t="s">
        <v>201</v>
      </c>
      <c r="E4" s="11" t="s">
        <v>216</v>
      </c>
      <c r="F4" s="12"/>
      <c r="G4" s="121">
        <f ca="1">RANDBETWEEN(1,6)+4</f>
        <v>8</v>
      </c>
      <c r="H4" s="121"/>
      <c r="I4" s="121"/>
      <c r="J4" s="12"/>
    </row>
    <row r="5" spans="1:10" x14ac:dyDescent="0.25">
      <c r="A5" s="11" t="s">
        <v>37</v>
      </c>
      <c r="B5" s="11" t="s">
        <v>108</v>
      </c>
      <c r="C5" s="11" t="s">
        <v>163</v>
      </c>
      <c r="D5" s="11" t="s">
        <v>202</v>
      </c>
      <c r="E5" s="11" t="s">
        <v>217</v>
      </c>
      <c r="F5" s="12"/>
      <c r="G5" s="110" t="s">
        <v>116</v>
      </c>
      <c r="H5" s="110"/>
      <c r="I5" s="110"/>
      <c r="J5" s="12"/>
    </row>
    <row r="6" spans="1:10" x14ac:dyDescent="0.25">
      <c r="A6" s="11" t="s">
        <v>38</v>
      </c>
      <c r="B6" s="11" t="s">
        <v>109</v>
      </c>
      <c r="C6" s="11" t="s">
        <v>164</v>
      </c>
      <c r="D6" s="11" t="s">
        <v>203</v>
      </c>
      <c r="E6" s="11" t="s">
        <v>218</v>
      </c>
      <c r="F6" s="12"/>
      <c r="G6" s="18">
        <v>1</v>
      </c>
      <c r="H6" s="18" t="s">
        <v>117</v>
      </c>
      <c r="I6" s="18"/>
      <c r="J6" s="12"/>
    </row>
    <row r="7" spans="1:10" x14ac:dyDescent="0.25">
      <c r="A7" s="11" t="s">
        <v>39</v>
      </c>
      <c r="B7" s="11" t="s">
        <v>110</v>
      </c>
      <c r="C7" s="11" t="s">
        <v>165</v>
      </c>
      <c r="D7" s="11" t="s">
        <v>204</v>
      </c>
      <c r="E7" s="36"/>
      <c r="F7" s="12"/>
      <c r="G7" s="18">
        <v>2</v>
      </c>
      <c r="H7" s="18" t="s">
        <v>118</v>
      </c>
      <c r="I7" s="18"/>
      <c r="J7" s="12"/>
    </row>
    <row r="8" spans="1:10" x14ac:dyDescent="0.25">
      <c r="A8" s="11" t="s">
        <v>40</v>
      </c>
      <c r="B8" s="11" t="s">
        <v>111</v>
      </c>
      <c r="C8" s="11" t="s">
        <v>166</v>
      </c>
      <c r="D8" s="11" t="s">
        <v>128</v>
      </c>
      <c r="E8" s="36"/>
      <c r="F8" s="12"/>
      <c r="G8" s="18">
        <v>3</v>
      </c>
      <c r="H8" s="18" t="s">
        <v>119</v>
      </c>
      <c r="I8" s="18"/>
      <c r="J8" s="12"/>
    </row>
    <row r="9" spans="1:10" ht="15.75" thickBot="1" x14ac:dyDescent="0.3">
      <c r="A9" s="11" t="s">
        <v>41</v>
      </c>
      <c r="B9" s="11" t="s">
        <v>110</v>
      </c>
      <c r="C9" s="11" t="s">
        <v>167</v>
      </c>
      <c r="D9" s="11" t="s">
        <v>205</v>
      </c>
      <c r="E9" s="36"/>
      <c r="F9" s="12"/>
      <c r="G9" s="31">
        <v>4</v>
      </c>
      <c r="H9" s="31" t="s">
        <v>120</v>
      </c>
      <c r="I9" s="31"/>
      <c r="J9" s="12"/>
    </row>
    <row r="10" spans="1:10" ht="15.75" thickBot="1" x14ac:dyDescent="0.3">
      <c r="A10" s="11" t="s">
        <v>42</v>
      </c>
      <c r="B10" s="11" t="s">
        <v>112</v>
      </c>
      <c r="C10" s="11" t="s">
        <v>168</v>
      </c>
      <c r="D10" s="11" t="s">
        <v>206</v>
      </c>
      <c r="E10" s="36"/>
      <c r="F10" s="12"/>
      <c r="G10" s="117" t="s">
        <v>138</v>
      </c>
      <c r="H10" s="118"/>
      <c r="I10" s="119"/>
      <c r="J10" s="12"/>
    </row>
    <row r="11" spans="1:10" x14ac:dyDescent="0.25">
      <c r="A11" s="11" t="s">
        <v>43</v>
      </c>
      <c r="B11" s="18" t="str">
        <f ca="1">"Dust of Dryness "&amp;$G$4&amp;" pinches (DMG166) Uncommon "&amp;$G$4*120&amp;" gp"</f>
        <v>Dust of Dryness 8 pinches (DMG166) Uncommon 960 gp</v>
      </c>
      <c r="C11" s="18" t="str">
        <f ca="1">"Necklace of Fireballs "&amp;$G$24&amp;" beads (DMG182) Rare "&amp;IF($G$24=4,300,IF($G$24=5,480,IF($G$24=6,960,IF($G$24=7,1600,IF($G$24=8,3840,7680))))&amp;"gp")</f>
        <v>Necklace of Fireballs 6 beads (DMG182) Rare 960gp</v>
      </c>
      <c r="D11" s="11" t="s">
        <v>207</v>
      </c>
      <c r="E11" s="36"/>
      <c r="F11" s="12"/>
      <c r="G11" s="32">
        <v>1</v>
      </c>
      <c r="H11" s="121" t="s">
        <v>139</v>
      </c>
      <c r="I11" s="121"/>
      <c r="J11" s="12"/>
    </row>
    <row r="12" spans="1:10" x14ac:dyDescent="0.25">
      <c r="A12" s="11" t="s">
        <v>44</v>
      </c>
      <c r="B12" s="11" t="s">
        <v>115</v>
      </c>
      <c r="C12" s="11" t="s">
        <v>170</v>
      </c>
      <c r="D12" s="11" t="s">
        <v>208</v>
      </c>
      <c r="E12" s="36"/>
      <c r="F12" s="12"/>
      <c r="G12" s="18">
        <v>2</v>
      </c>
      <c r="H12" s="110" t="s">
        <v>140</v>
      </c>
      <c r="I12" s="110"/>
      <c r="J12" s="12"/>
    </row>
    <row r="13" spans="1:10" x14ac:dyDescent="0.25">
      <c r="A13" s="11" t="s">
        <v>75</v>
      </c>
      <c r="B13" s="18" t="str">
        <f ca="1">"Elemental Gem (" &amp;LOOKUP(RANDBETWEEN(1,4),$G$6:$G$9,$H$6:$H$9)&amp;") (DMG167) Uncommon 960gp"</f>
        <v>Elemental Gem (Yellow Diamond [Earth]) (DMG167) Uncommon 960gp</v>
      </c>
      <c r="C13" s="11" t="s">
        <v>171</v>
      </c>
      <c r="D13" s="11" t="s">
        <v>209</v>
      </c>
      <c r="E13" s="36"/>
      <c r="F13" s="12"/>
      <c r="G13" s="18">
        <v>3</v>
      </c>
      <c r="H13" s="110" t="s">
        <v>141</v>
      </c>
      <c r="I13" s="110"/>
      <c r="J13" s="12"/>
    </row>
    <row r="14" spans="1:10" x14ac:dyDescent="0.25">
      <c r="A14" s="11" t="s">
        <v>74</v>
      </c>
      <c r="B14" s="11" t="s">
        <v>121</v>
      </c>
      <c r="C14" s="11" t="s">
        <v>172</v>
      </c>
      <c r="D14" s="11" t="s">
        <v>211</v>
      </c>
      <c r="E14" s="36"/>
      <c r="F14" s="12"/>
      <c r="G14" s="18">
        <v>4</v>
      </c>
      <c r="H14" s="110" t="s">
        <v>142</v>
      </c>
      <c r="I14" s="110"/>
      <c r="J14" s="12"/>
    </row>
    <row r="15" spans="1:10" x14ac:dyDescent="0.25">
      <c r="A15" s="11" t="s">
        <v>73</v>
      </c>
      <c r="B15" s="11" t="s">
        <v>122</v>
      </c>
      <c r="C15" s="11" t="s">
        <v>173</v>
      </c>
      <c r="D15" s="36"/>
      <c r="E15" s="36"/>
      <c r="F15" s="12"/>
      <c r="G15" s="18">
        <v>5</v>
      </c>
      <c r="H15" s="110" t="s">
        <v>143</v>
      </c>
      <c r="I15" s="110"/>
      <c r="J15" s="12"/>
    </row>
    <row r="16" spans="1:10" x14ac:dyDescent="0.25">
      <c r="A16" s="11" t="s">
        <v>72</v>
      </c>
      <c r="B16" s="11" t="s">
        <v>123</v>
      </c>
      <c r="C16" s="11" t="s">
        <v>174</v>
      </c>
      <c r="D16" s="36"/>
      <c r="E16" s="36"/>
      <c r="F16" s="12"/>
      <c r="G16" s="18">
        <v>6</v>
      </c>
      <c r="H16" s="110" t="s">
        <v>144</v>
      </c>
      <c r="I16" s="110"/>
      <c r="J16" s="12"/>
    </row>
    <row r="17" spans="1:10" x14ac:dyDescent="0.25">
      <c r="A17" s="11" t="s">
        <v>71</v>
      </c>
      <c r="B17" s="11" t="s">
        <v>124</v>
      </c>
      <c r="C17" s="11" t="s">
        <v>175</v>
      </c>
      <c r="D17" s="36"/>
      <c r="E17" s="36"/>
      <c r="F17" s="12"/>
      <c r="G17" s="18">
        <v>7</v>
      </c>
      <c r="H17" s="110" t="s">
        <v>145</v>
      </c>
      <c r="I17" s="110"/>
      <c r="J17" s="12"/>
    </row>
    <row r="18" spans="1:10" x14ac:dyDescent="0.25">
      <c r="A18" s="11" t="s">
        <v>70</v>
      </c>
      <c r="B18" s="11" t="s">
        <v>125</v>
      </c>
      <c r="C18" s="11" t="s">
        <v>176</v>
      </c>
      <c r="D18" s="36"/>
      <c r="E18" s="36"/>
      <c r="F18" s="12"/>
      <c r="G18" s="18">
        <v>8</v>
      </c>
      <c r="H18" s="110" t="s">
        <v>146</v>
      </c>
      <c r="I18" s="110"/>
      <c r="J18" s="12"/>
    </row>
    <row r="19" spans="1:10" x14ac:dyDescent="0.25">
      <c r="A19" s="11" t="s">
        <v>69</v>
      </c>
      <c r="B19" s="11" t="s">
        <v>126</v>
      </c>
      <c r="C19" s="11" t="s">
        <v>177</v>
      </c>
      <c r="D19" s="36"/>
      <c r="E19" s="36"/>
      <c r="F19" s="12"/>
      <c r="G19" s="18">
        <v>9</v>
      </c>
      <c r="H19" s="110" t="s">
        <v>147</v>
      </c>
      <c r="I19" s="110"/>
      <c r="J19" s="12"/>
    </row>
    <row r="20" spans="1:10" ht="15.75" thickBot="1" x14ac:dyDescent="0.3">
      <c r="A20" s="11" t="s">
        <v>68</v>
      </c>
      <c r="B20" s="11" t="s">
        <v>127</v>
      </c>
      <c r="C20" s="11" t="s">
        <v>178</v>
      </c>
      <c r="D20" s="36"/>
      <c r="E20" s="36"/>
      <c r="F20" s="12"/>
      <c r="G20" s="31">
        <v>10</v>
      </c>
      <c r="H20" s="120" t="s">
        <v>148</v>
      </c>
      <c r="I20" s="120"/>
      <c r="J20" s="12"/>
    </row>
    <row r="21" spans="1:10" ht="15.75" thickBot="1" x14ac:dyDescent="0.3">
      <c r="A21" s="11" t="s">
        <v>76</v>
      </c>
      <c r="B21" s="11" t="s">
        <v>129</v>
      </c>
      <c r="C21" s="11" t="s">
        <v>179</v>
      </c>
      <c r="D21" s="36"/>
      <c r="E21" s="36"/>
      <c r="F21" s="12"/>
      <c r="G21" s="117" t="s">
        <v>151</v>
      </c>
      <c r="H21" s="118"/>
      <c r="I21" s="119"/>
      <c r="J21" s="12"/>
    </row>
    <row r="22" spans="1:10" ht="15.75" thickBot="1" x14ac:dyDescent="0.3">
      <c r="A22" s="11" t="s">
        <v>77</v>
      </c>
      <c r="B22" s="11" t="s">
        <v>130</v>
      </c>
      <c r="C22" s="11" t="s">
        <v>180</v>
      </c>
      <c r="D22" s="36"/>
      <c r="E22" s="36"/>
      <c r="F22" s="12"/>
      <c r="G22" s="116">
        <f ca="1">RANDBETWEEN(1,4)+RANDBETWEEN(1,4)+RANDBETWEEN(1,4)+RANDBETWEEN(1,4)+6</f>
        <v>16</v>
      </c>
      <c r="H22" s="116"/>
      <c r="I22" s="116"/>
      <c r="J22" s="12"/>
    </row>
    <row r="23" spans="1:10" ht="15.75" thickBot="1" x14ac:dyDescent="0.3">
      <c r="A23" s="11" t="s">
        <v>78</v>
      </c>
      <c r="B23" s="11" t="s">
        <v>131</v>
      </c>
      <c r="C23" s="18" t="str">
        <f ca="1">"Quaal's Feather Token "&amp;LOOKUP(RANDBETWEEN(1,100),$H$26:$H$31,$I$26:$I$31)</f>
        <v>Quaal's Feather Token Swan Boat (DMG188) Rare 3000gp</v>
      </c>
      <c r="D23" s="36"/>
      <c r="E23" s="36"/>
      <c r="F23" s="12"/>
      <c r="G23" s="117" t="s">
        <v>169</v>
      </c>
      <c r="H23" s="118"/>
      <c r="I23" s="119"/>
      <c r="J23" s="12"/>
    </row>
    <row r="24" spans="1:10" ht="15.75" thickBot="1" x14ac:dyDescent="0.3">
      <c r="A24" s="11" t="s">
        <v>79</v>
      </c>
      <c r="B24" s="11" t="s">
        <v>132</v>
      </c>
      <c r="C24" s="18" t="str">
        <f ca="1">"Scroll of Protection from "&amp;LOOKUP(RANDBETWEEN(1,100),H33:H40,I33:I40)&amp;" (DMG199) Rare 180gp"</f>
        <v>Scroll of Protection from Celestials (DMG199) Rare 180gp</v>
      </c>
      <c r="D24" s="36"/>
      <c r="E24" s="36"/>
      <c r="F24" s="12"/>
      <c r="G24" s="116">
        <f ca="1">RANDBETWEEN(1,6)+3</f>
        <v>6</v>
      </c>
      <c r="H24" s="116"/>
      <c r="I24" s="116"/>
      <c r="J24" s="12"/>
    </row>
    <row r="25" spans="1:10" ht="15.75" thickBot="1" x14ac:dyDescent="0.3">
      <c r="A25" s="11" t="s">
        <v>80</v>
      </c>
      <c r="B25" s="11" t="s">
        <v>133</v>
      </c>
      <c r="C25" s="36"/>
      <c r="D25" s="36"/>
      <c r="E25" s="36"/>
      <c r="F25" s="12"/>
      <c r="G25" s="117" t="s">
        <v>182</v>
      </c>
      <c r="H25" s="118"/>
      <c r="I25" s="119"/>
      <c r="J25" s="12"/>
    </row>
    <row r="26" spans="1:10" x14ac:dyDescent="0.25">
      <c r="A26" s="11" t="s">
        <v>81</v>
      </c>
      <c r="B26" s="11" t="s">
        <v>135</v>
      </c>
      <c r="C26" s="36"/>
      <c r="D26" s="36"/>
      <c r="E26" s="36"/>
      <c r="F26" s="12"/>
      <c r="G26" s="32">
        <v>20</v>
      </c>
      <c r="H26" s="32">
        <v>1</v>
      </c>
      <c r="I26" s="32" t="s">
        <v>183</v>
      </c>
      <c r="J26" s="12"/>
    </row>
    <row r="27" spans="1:10" x14ac:dyDescent="0.25">
      <c r="A27" s="11" t="s">
        <v>82</v>
      </c>
      <c r="B27" s="11" t="s">
        <v>136</v>
      </c>
      <c r="C27" s="36"/>
      <c r="D27" s="36"/>
      <c r="E27" s="36"/>
      <c r="F27" s="12"/>
      <c r="G27" s="18">
        <v>35</v>
      </c>
      <c r="H27" s="18">
        <v>21</v>
      </c>
      <c r="I27" s="18" t="s">
        <v>184</v>
      </c>
      <c r="J27" s="12"/>
    </row>
    <row r="28" spans="1:10" x14ac:dyDescent="0.25">
      <c r="A28" s="11" t="s">
        <v>83</v>
      </c>
      <c r="B28" s="11" t="s">
        <v>137</v>
      </c>
      <c r="C28" s="36"/>
      <c r="D28" s="36"/>
      <c r="E28" s="36"/>
      <c r="F28" s="12"/>
      <c r="G28" s="18">
        <v>50</v>
      </c>
      <c r="H28" s="18">
        <v>36</v>
      </c>
      <c r="I28" s="18" t="s">
        <v>185</v>
      </c>
      <c r="J28" s="12"/>
    </row>
    <row r="29" spans="1:10" x14ac:dyDescent="0.25">
      <c r="A29" s="11" t="s">
        <v>84</v>
      </c>
      <c r="B29" s="18" t="str">
        <f ca="1">"Potion of " &amp;LOOKUP(RANDBETWEEN(1,10),$G$11:$G$20,$H$11:$H$20) &amp;" Resistance (DMG188) Uncommon 300gp"</f>
        <v>Potion of Poison Resistance (DMG188) Uncommon 300gp</v>
      </c>
      <c r="C29" s="36"/>
      <c r="D29" s="36"/>
      <c r="E29" s="36"/>
      <c r="F29" s="12"/>
      <c r="G29" s="18">
        <v>65</v>
      </c>
      <c r="H29" s="18">
        <v>51</v>
      </c>
      <c r="I29" s="18" t="s">
        <v>186</v>
      </c>
      <c r="J29" s="12"/>
    </row>
    <row r="30" spans="1:10" x14ac:dyDescent="0.25">
      <c r="A30" s="11" t="s">
        <v>85</v>
      </c>
      <c r="B30" s="11" t="s">
        <v>149</v>
      </c>
      <c r="C30" s="36"/>
      <c r="D30" s="36"/>
      <c r="E30" s="36"/>
      <c r="F30" s="12"/>
      <c r="G30" s="18">
        <v>90</v>
      </c>
      <c r="H30" s="18">
        <v>66</v>
      </c>
      <c r="I30" s="18" t="s">
        <v>187</v>
      </c>
      <c r="J30" s="12"/>
    </row>
    <row r="31" spans="1:10" ht="15.75" thickBot="1" x14ac:dyDescent="0.3">
      <c r="A31" s="11" t="s">
        <v>86</v>
      </c>
      <c r="B31" s="11" t="s">
        <v>150</v>
      </c>
      <c r="C31" s="36"/>
      <c r="D31" s="36"/>
      <c r="E31" s="36"/>
      <c r="F31" s="12"/>
      <c r="G31" s="31">
        <v>100</v>
      </c>
      <c r="H31" s="31">
        <v>91</v>
      </c>
      <c r="I31" s="31" t="s">
        <v>188</v>
      </c>
      <c r="J31" s="12"/>
    </row>
    <row r="32" spans="1:10" ht="15.75" thickBot="1" x14ac:dyDescent="0.3">
      <c r="A32" s="11" t="s">
        <v>87</v>
      </c>
      <c r="B32" s="18" t="str">
        <f ca="1">"Robe of Useful Items ("&amp;$G$22&amp;" items) (DMG195) Uncommon "&amp;$G$22*5&amp;"gp"</f>
        <v>Robe of Useful Items (16 items) (DMG195) Uncommon 80gp</v>
      </c>
      <c r="C32" s="36"/>
      <c r="D32" s="36"/>
      <c r="E32" s="36"/>
      <c r="F32" s="12"/>
      <c r="G32" s="117" t="s">
        <v>189</v>
      </c>
      <c r="H32" s="118"/>
      <c r="I32" s="119"/>
      <c r="J32" s="12"/>
    </row>
    <row r="33" spans="1:10" x14ac:dyDescent="0.25">
      <c r="A33" s="11" t="s">
        <v>88</v>
      </c>
      <c r="B33" s="11" t="s">
        <v>152</v>
      </c>
      <c r="C33" s="36"/>
      <c r="D33" s="36"/>
      <c r="E33" s="36"/>
      <c r="F33" s="12"/>
      <c r="G33" s="32">
        <v>10</v>
      </c>
      <c r="H33" s="32">
        <v>1</v>
      </c>
      <c r="I33" s="32" t="s">
        <v>190</v>
      </c>
      <c r="J33" s="12"/>
    </row>
    <row r="34" spans="1:10" x14ac:dyDescent="0.25">
      <c r="A34" s="11" t="s">
        <v>89</v>
      </c>
      <c r="B34" s="11" t="s">
        <v>153</v>
      </c>
      <c r="C34" s="36"/>
      <c r="D34" s="36"/>
      <c r="E34" s="36"/>
      <c r="F34" s="12"/>
      <c r="G34" s="18">
        <v>20</v>
      </c>
      <c r="H34" s="18">
        <v>11</v>
      </c>
      <c r="I34" s="18" t="s">
        <v>191</v>
      </c>
      <c r="J34" s="12"/>
    </row>
    <row r="35" spans="1:10" x14ac:dyDescent="0.25">
      <c r="A35" s="11" t="s">
        <v>90</v>
      </c>
      <c r="B35" s="11" t="s">
        <v>154</v>
      </c>
      <c r="C35" s="36"/>
      <c r="D35" s="36"/>
      <c r="E35" s="36"/>
      <c r="F35" s="12"/>
      <c r="G35" s="18">
        <v>30</v>
      </c>
      <c r="H35" s="18">
        <v>21</v>
      </c>
      <c r="I35" s="18" t="s">
        <v>192</v>
      </c>
      <c r="J35" s="12"/>
    </row>
    <row r="36" spans="1:10" x14ac:dyDescent="0.25">
      <c r="A36" s="11" t="s">
        <v>92</v>
      </c>
      <c r="B36" s="11" t="s">
        <v>157</v>
      </c>
      <c r="C36" s="36"/>
      <c r="D36" s="36"/>
      <c r="E36" s="36"/>
      <c r="F36" s="12"/>
      <c r="G36" s="18">
        <v>40</v>
      </c>
      <c r="H36" s="18">
        <v>31</v>
      </c>
      <c r="I36" s="18" t="s">
        <v>193</v>
      </c>
      <c r="J36" s="12"/>
    </row>
    <row r="37" spans="1:10" x14ac:dyDescent="0.25">
      <c r="A37" s="11" t="s">
        <v>93</v>
      </c>
      <c r="B37" s="11" t="s">
        <v>158</v>
      </c>
      <c r="C37" s="36"/>
      <c r="D37" s="36"/>
      <c r="E37" s="36"/>
      <c r="F37" s="12"/>
      <c r="G37" s="18">
        <v>50</v>
      </c>
      <c r="H37" s="18">
        <v>41</v>
      </c>
      <c r="I37" s="18" t="s">
        <v>194</v>
      </c>
      <c r="J37" s="12"/>
    </row>
    <row r="38" spans="1:10" x14ac:dyDescent="0.25">
      <c r="A38" s="11" t="s">
        <v>94</v>
      </c>
      <c r="B38" s="36"/>
      <c r="C38" s="36"/>
      <c r="D38" s="36"/>
      <c r="E38" s="36"/>
      <c r="F38" s="12"/>
      <c r="G38" s="18">
        <v>75</v>
      </c>
      <c r="H38" s="18">
        <v>51</v>
      </c>
      <c r="I38" s="18" t="s">
        <v>195</v>
      </c>
      <c r="J38" s="12"/>
    </row>
    <row r="39" spans="1:10" x14ac:dyDescent="0.25">
      <c r="A39" s="11" t="s">
        <v>95</v>
      </c>
      <c r="B39" s="36"/>
      <c r="C39" s="36"/>
      <c r="D39" s="36"/>
      <c r="E39" s="36"/>
      <c r="F39" s="12"/>
      <c r="G39" s="18">
        <v>80</v>
      </c>
      <c r="H39" s="18">
        <v>76</v>
      </c>
      <c r="I39" s="18" t="s">
        <v>196</v>
      </c>
      <c r="J39" s="12"/>
    </row>
    <row r="40" spans="1:10" x14ac:dyDescent="0.25">
      <c r="A40" s="11" t="s">
        <v>98</v>
      </c>
      <c r="B40" s="36"/>
      <c r="C40" s="36"/>
      <c r="D40" s="36"/>
      <c r="E40" s="36"/>
      <c r="F40" s="12"/>
      <c r="G40" s="18">
        <v>100</v>
      </c>
      <c r="H40" s="18">
        <v>81</v>
      </c>
      <c r="I40" s="18" t="s">
        <v>197</v>
      </c>
      <c r="J40" s="12"/>
    </row>
    <row r="41" spans="1:10" x14ac:dyDescent="0.25">
      <c r="A41" s="11" t="s">
        <v>99</v>
      </c>
      <c r="B41" s="36"/>
      <c r="C41" s="36"/>
      <c r="D41" s="36"/>
      <c r="E41" s="36"/>
      <c r="F41" s="12"/>
      <c r="G41" s="12"/>
      <c r="H41" s="12"/>
      <c r="I41" s="12"/>
      <c r="J41" s="12"/>
    </row>
    <row r="42" spans="1:10" x14ac:dyDescent="0.25">
      <c r="A42" s="11" t="s">
        <v>100</v>
      </c>
      <c r="B42" s="36"/>
      <c r="C42" s="36"/>
      <c r="D42" s="36"/>
      <c r="E42" s="36"/>
      <c r="F42" s="12"/>
      <c r="G42" s="12"/>
      <c r="H42" s="12"/>
      <c r="I42" s="12"/>
      <c r="J42" s="12"/>
    </row>
    <row r="43" spans="1:10" x14ac:dyDescent="0.25">
      <c r="A43" s="11" t="s">
        <v>101</v>
      </c>
      <c r="B43" s="36"/>
      <c r="C43" s="36"/>
      <c r="D43" s="36"/>
      <c r="E43" s="36"/>
      <c r="F43" s="12"/>
      <c r="G43" s="12"/>
      <c r="H43" s="12"/>
      <c r="I43" s="12"/>
      <c r="J43" s="12"/>
    </row>
    <row r="44" spans="1:10" x14ac:dyDescent="0.25">
      <c r="A44" s="11" t="s">
        <v>160</v>
      </c>
      <c r="B44" s="36"/>
      <c r="C44" s="36"/>
      <c r="D44" s="36"/>
      <c r="E44" s="36"/>
      <c r="F44" s="12"/>
      <c r="G44" s="12"/>
      <c r="H44" s="12"/>
      <c r="I44" s="12"/>
      <c r="J44" s="12"/>
    </row>
    <row r="45" spans="1:10" x14ac:dyDescent="0.25">
      <c r="A45" s="11" t="s">
        <v>102</v>
      </c>
      <c r="B45" s="36"/>
      <c r="C45" s="36"/>
      <c r="D45" s="36"/>
      <c r="E45" s="36"/>
      <c r="F45" s="12"/>
      <c r="G45" s="12"/>
      <c r="H45" s="12"/>
      <c r="I45" s="12"/>
      <c r="J45" s="12"/>
    </row>
    <row r="46" spans="1:10" x14ac:dyDescent="0.25">
      <c r="A46" s="11" t="s">
        <v>103</v>
      </c>
      <c r="B46" s="36"/>
      <c r="C46" s="36"/>
      <c r="D46" s="36"/>
      <c r="E46" s="36"/>
      <c r="F46" s="12"/>
      <c r="G46" s="12"/>
      <c r="H46" s="12"/>
      <c r="I46" s="12"/>
      <c r="J46" s="12"/>
    </row>
    <row r="47" spans="1:10" x14ac:dyDescent="0.25">
      <c r="A47" s="11" t="s">
        <v>104</v>
      </c>
      <c r="B47" s="36"/>
      <c r="C47" s="36"/>
      <c r="D47" s="36"/>
      <c r="E47" s="36"/>
      <c r="F47" s="12"/>
      <c r="G47" s="12"/>
      <c r="H47" s="12"/>
      <c r="I47" s="12"/>
      <c r="J47" s="12"/>
    </row>
    <row r="48" spans="1:10" x14ac:dyDescent="0.25">
      <c r="A48" s="11" t="s">
        <v>105</v>
      </c>
      <c r="B48" s="30"/>
      <c r="C48" s="36"/>
      <c r="D48" s="30"/>
      <c r="E48" s="36"/>
      <c r="F48" s="12"/>
      <c r="G48" s="12"/>
      <c r="H48" s="12"/>
      <c r="I48" s="12"/>
      <c r="J48" s="12"/>
    </row>
    <row r="49" spans="1:10" x14ac:dyDescent="0.25">
      <c r="A49" s="30"/>
      <c r="B49" s="30"/>
      <c r="C49" s="30"/>
      <c r="D49" s="30"/>
      <c r="E49" s="36"/>
      <c r="F49" s="12"/>
      <c r="G49" s="12"/>
      <c r="H49" s="12"/>
      <c r="I49" s="12"/>
      <c r="J49" s="12"/>
    </row>
    <row r="50" spans="1:10" x14ac:dyDescent="0.25">
      <c r="E50" s="37"/>
      <c r="F50" s="38"/>
      <c r="G50" s="38"/>
      <c r="H50" s="38"/>
      <c r="I50" s="38"/>
      <c r="J50" s="38"/>
    </row>
    <row r="51" spans="1:10" x14ac:dyDescent="0.25">
      <c r="E51" s="37"/>
      <c r="F51" s="38"/>
      <c r="G51" s="38"/>
      <c r="H51" s="38"/>
      <c r="I51" s="38"/>
      <c r="J51" s="38"/>
    </row>
    <row r="52" spans="1:10" x14ac:dyDescent="0.25">
      <c r="E52" s="39"/>
      <c r="F52" s="38"/>
      <c r="G52" s="38"/>
      <c r="H52" s="38"/>
      <c r="I52" s="38"/>
      <c r="J52" s="38"/>
    </row>
  </sheetData>
  <sheetProtection sheet="1" objects="1" scenarios="1"/>
  <mergeCells count="21">
    <mergeCell ref="G32:I32"/>
    <mergeCell ref="H19:I19"/>
    <mergeCell ref="H20:I20"/>
    <mergeCell ref="G5:I5"/>
    <mergeCell ref="G4:I4"/>
    <mergeCell ref="G21:I21"/>
    <mergeCell ref="H12:I12"/>
    <mergeCell ref="G10:I10"/>
    <mergeCell ref="H11:I11"/>
    <mergeCell ref="H13:I13"/>
    <mergeCell ref="H14:I14"/>
    <mergeCell ref="H15:I15"/>
    <mergeCell ref="H16:I16"/>
    <mergeCell ref="H17:I17"/>
    <mergeCell ref="G22:I22"/>
    <mergeCell ref="G23:I23"/>
    <mergeCell ref="G24:I24"/>
    <mergeCell ref="G25:I25"/>
    <mergeCell ref="H18:I18"/>
    <mergeCell ref="G3:I3"/>
    <mergeCell ref="G2:I2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AD840-4DE2-4C63-91E4-8D9383A00628}">
  <sheetPr codeName="Sheet4"/>
  <dimension ref="A1:J87"/>
  <sheetViews>
    <sheetView topLeftCell="B1" zoomScaleNormal="100" workbookViewId="0">
      <selection activeCell="R18" sqref="R18"/>
    </sheetView>
  </sheetViews>
  <sheetFormatPr defaultRowHeight="15" x14ac:dyDescent="0.25"/>
  <cols>
    <col min="1" max="1" width="21.42578125" style="27" hidden="1" customWidth="1"/>
    <col min="2" max="2" width="72.28515625" style="27" bestFit="1" customWidth="1"/>
    <col min="3" max="3" width="63.7109375" style="27" bestFit="1" customWidth="1"/>
    <col min="4" max="4" width="70.28515625" style="27" bestFit="1" customWidth="1"/>
    <col min="5" max="5" width="65.28515625" style="27" bestFit="1" customWidth="1"/>
    <col min="6" max="6" width="2.42578125" style="27" customWidth="1"/>
    <col min="7" max="7" width="8.42578125" style="27" bestFit="1" customWidth="1"/>
    <col min="8" max="16384" width="9.140625" style="27"/>
  </cols>
  <sheetData>
    <row r="1" spans="1:10" ht="15.75" thickBot="1" x14ac:dyDescent="0.3">
      <c r="A1" s="12" t="s">
        <v>474</v>
      </c>
      <c r="B1" s="18">
        <f>ROWS(Major_Uncommon_Items[])</f>
        <v>52</v>
      </c>
      <c r="C1" s="18">
        <f>ROWS(Major_Rare_Items[])</f>
        <v>79</v>
      </c>
      <c r="D1" s="18">
        <f>ROWS(Major_Very_Rare_Items[])</f>
        <v>53</v>
      </c>
      <c r="E1" s="18">
        <f>ROWS(Major_Legendary_Items[])</f>
        <v>42</v>
      </c>
      <c r="F1" s="30"/>
      <c r="G1" s="30"/>
      <c r="H1" s="30"/>
      <c r="I1" s="30"/>
      <c r="J1" s="30"/>
    </row>
    <row r="2" spans="1:10" ht="15.75" thickBot="1" x14ac:dyDescent="0.3">
      <c r="A2" s="30" t="s">
        <v>474</v>
      </c>
      <c r="B2" s="11" t="s">
        <v>59</v>
      </c>
      <c r="C2" s="11" t="s">
        <v>60</v>
      </c>
      <c r="D2" s="11" t="s">
        <v>61</v>
      </c>
      <c r="E2" s="11" t="s">
        <v>62</v>
      </c>
      <c r="F2" s="30"/>
      <c r="G2" s="117" t="s">
        <v>113</v>
      </c>
      <c r="H2" s="118"/>
      <c r="I2" s="119"/>
      <c r="J2" s="30"/>
    </row>
    <row r="3" spans="1:10" ht="15.75" thickBot="1" x14ac:dyDescent="0.3">
      <c r="A3" s="30" t="s">
        <v>474</v>
      </c>
      <c r="B3" s="11" t="s">
        <v>219</v>
      </c>
      <c r="C3" s="11" t="s">
        <v>278</v>
      </c>
      <c r="D3" s="11" t="s">
        <v>364</v>
      </c>
      <c r="E3" s="11" t="s">
        <v>417</v>
      </c>
      <c r="F3" s="30"/>
      <c r="G3" s="117" t="s">
        <v>221</v>
      </c>
      <c r="H3" s="118"/>
      <c r="I3" s="119"/>
      <c r="J3" s="30"/>
    </row>
    <row r="4" spans="1:10" x14ac:dyDescent="0.25">
      <c r="A4" s="30" t="s">
        <v>474</v>
      </c>
      <c r="B4" s="11" t="s">
        <v>220</v>
      </c>
      <c r="C4" s="18" t="str">
        <f ca="1">"Armor of "&amp;LOOKUP(RANDBETWEEN(1,10),$G$8:$G$17,$H$8:$H$17)&amp;" Resistance Rare (DMG152) 6000gp"</f>
        <v>Armor of Fire Resistance Rare (DMG152) 6000gp</v>
      </c>
      <c r="D4" s="11" t="s">
        <v>365</v>
      </c>
      <c r="E4" s="11" t="s">
        <v>418</v>
      </c>
      <c r="F4" s="30"/>
      <c r="G4" s="32">
        <v>1</v>
      </c>
      <c r="H4" s="125" t="s">
        <v>222</v>
      </c>
      <c r="I4" s="125"/>
      <c r="J4" s="30"/>
    </row>
    <row r="5" spans="1:10" x14ac:dyDescent="0.25">
      <c r="A5" s="30" t="s">
        <v>474</v>
      </c>
      <c r="B5" s="18" t="str">
        <f ca="1">"Bag of Tricks "&amp;LOOKUP(RANDBETWEEN(1,3),$G$4:$G$6,$H$4:$H$6)&amp;" (DMG154) Uncommon 500gp"</f>
        <v>Bag of Tricks Tan (DMG154) Uncommon 500gp</v>
      </c>
      <c r="C5" s="11" t="s">
        <v>279</v>
      </c>
      <c r="D5" s="11" t="s">
        <v>484</v>
      </c>
      <c r="E5" s="11" t="s">
        <v>419</v>
      </c>
      <c r="F5" s="30"/>
      <c r="G5" s="18">
        <v>2</v>
      </c>
      <c r="H5" s="126" t="s">
        <v>223</v>
      </c>
      <c r="I5" s="126"/>
      <c r="J5" s="30"/>
    </row>
    <row r="6" spans="1:10" ht="15.75" thickBot="1" x14ac:dyDescent="0.3">
      <c r="A6" s="30" t="s">
        <v>474</v>
      </c>
      <c r="B6" s="11" t="s">
        <v>225</v>
      </c>
      <c r="C6" s="11" t="s">
        <v>281</v>
      </c>
      <c r="D6" s="11" t="s">
        <v>366</v>
      </c>
      <c r="E6" s="11" t="s">
        <v>420</v>
      </c>
      <c r="F6" s="30"/>
      <c r="G6" s="31">
        <v>3</v>
      </c>
      <c r="H6" s="127" t="s">
        <v>224</v>
      </c>
      <c r="I6" s="127"/>
      <c r="J6" s="30"/>
    </row>
    <row r="7" spans="1:10" ht="15.75" thickBot="1" x14ac:dyDescent="0.3">
      <c r="A7" s="30" t="s">
        <v>474</v>
      </c>
      <c r="B7" s="11" t="s">
        <v>226</v>
      </c>
      <c r="C7" s="11" t="s">
        <v>282</v>
      </c>
      <c r="D7" s="11" t="s">
        <v>367</v>
      </c>
      <c r="E7" s="11" t="s">
        <v>421</v>
      </c>
      <c r="F7" s="30"/>
      <c r="G7" s="117" t="s">
        <v>138</v>
      </c>
      <c r="H7" s="118"/>
      <c r="I7" s="119"/>
      <c r="J7" s="30"/>
    </row>
    <row r="8" spans="1:10" x14ac:dyDescent="0.25">
      <c r="A8" s="30" t="s">
        <v>474</v>
      </c>
      <c r="B8" s="11" t="s">
        <v>227</v>
      </c>
      <c r="C8" s="11" t="s">
        <v>283</v>
      </c>
      <c r="D8" s="11" t="s">
        <v>368</v>
      </c>
      <c r="E8" s="11" t="s">
        <v>422</v>
      </c>
      <c r="F8" s="30"/>
      <c r="G8" s="32">
        <v>1</v>
      </c>
      <c r="H8" s="124" t="s">
        <v>139</v>
      </c>
      <c r="I8" s="124"/>
      <c r="J8" s="30"/>
    </row>
    <row r="9" spans="1:10" x14ac:dyDescent="0.25">
      <c r="A9" s="30" t="s">
        <v>474</v>
      </c>
      <c r="B9" s="11" t="s">
        <v>228</v>
      </c>
      <c r="C9" s="11" t="s">
        <v>284</v>
      </c>
      <c r="D9" s="11" t="s">
        <v>369</v>
      </c>
      <c r="E9" s="11" t="s">
        <v>423</v>
      </c>
      <c r="F9" s="30"/>
      <c r="G9" s="18">
        <v>2</v>
      </c>
      <c r="H9" s="122" t="s">
        <v>140</v>
      </c>
      <c r="I9" s="122"/>
      <c r="J9" s="30"/>
    </row>
    <row r="10" spans="1:10" x14ac:dyDescent="0.25">
      <c r="A10" s="30" t="s">
        <v>474</v>
      </c>
      <c r="B10" s="11" t="s">
        <v>229</v>
      </c>
      <c r="C10" s="11" t="s">
        <v>285</v>
      </c>
      <c r="D10" s="11" t="s">
        <v>370</v>
      </c>
      <c r="E10" s="11" t="s">
        <v>424</v>
      </c>
      <c r="F10" s="30"/>
      <c r="G10" s="18">
        <v>3</v>
      </c>
      <c r="H10" s="122" t="s">
        <v>141</v>
      </c>
      <c r="I10" s="122"/>
      <c r="J10" s="30"/>
    </row>
    <row r="11" spans="1:10" x14ac:dyDescent="0.25">
      <c r="A11" s="30" t="s">
        <v>474</v>
      </c>
      <c r="B11" s="11" t="s">
        <v>230</v>
      </c>
      <c r="C11" s="11" t="s">
        <v>286</v>
      </c>
      <c r="D11" s="11" t="s">
        <v>371</v>
      </c>
      <c r="E11" s="11" t="s">
        <v>425</v>
      </c>
      <c r="F11" s="30"/>
      <c r="G11" s="18">
        <v>4</v>
      </c>
      <c r="H11" s="122" t="s">
        <v>142</v>
      </c>
      <c r="I11" s="122"/>
      <c r="J11" s="30"/>
    </row>
    <row r="12" spans="1:10" x14ac:dyDescent="0.25">
      <c r="A12" s="30" t="s">
        <v>474</v>
      </c>
      <c r="B12" s="11" t="s">
        <v>231</v>
      </c>
      <c r="C12" s="11" t="s">
        <v>287</v>
      </c>
      <c r="D12" s="11" t="s">
        <v>372</v>
      </c>
      <c r="E12" s="11" t="s">
        <v>426</v>
      </c>
      <c r="F12" s="30"/>
      <c r="G12" s="18">
        <v>5</v>
      </c>
      <c r="H12" s="122" t="s">
        <v>143</v>
      </c>
      <c r="I12" s="122"/>
      <c r="J12" s="30"/>
    </row>
    <row r="13" spans="1:10" x14ac:dyDescent="0.25">
      <c r="A13" s="30" t="s">
        <v>474</v>
      </c>
      <c r="B13" s="11" t="s">
        <v>232</v>
      </c>
      <c r="C13" s="11" t="s">
        <v>288</v>
      </c>
      <c r="D13" s="11" t="s">
        <v>373</v>
      </c>
      <c r="E13" s="11" t="s">
        <v>427</v>
      </c>
      <c r="F13" s="30"/>
      <c r="G13" s="18">
        <v>6</v>
      </c>
      <c r="H13" s="122" t="s">
        <v>144</v>
      </c>
      <c r="I13" s="122"/>
      <c r="J13" s="30"/>
    </row>
    <row r="14" spans="1:10" x14ac:dyDescent="0.25">
      <c r="A14" s="30" t="s">
        <v>474</v>
      </c>
      <c r="B14" s="11" t="s">
        <v>233</v>
      </c>
      <c r="C14" s="11" t="s">
        <v>289</v>
      </c>
      <c r="D14" s="11" t="s">
        <v>374</v>
      </c>
      <c r="E14" s="11" t="s">
        <v>428</v>
      </c>
      <c r="F14" s="30"/>
      <c r="G14" s="18">
        <v>7</v>
      </c>
      <c r="H14" s="122" t="s">
        <v>145</v>
      </c>
      <c r="I14" s="122"/>
      <c r="J14" s="30"/>
    </row>
    <row r="15" spans="1:10" x14ac:dyDescent="0.25">
      <c r="A15" s="30" t="s">
        <v>474</v>
      </c>
      <c r="B15" s="11" t="s">
        <v>234</v>
      </c>
      <c r="C15" s="11" t="s">
        <v>290</v>
      </c>
      <c r="D15" s="11" t="s">
        <v>375</v>
      </c>
      <c r="E15" s="11" t="s">
        <v>429</v>
      </c>
      <c r="F15" s="30"/>
      <c r="G15" s="18">
        <v>8</v>
      </c>
      <c r="H15" s="122" t="s">
        <v>146</v>
      </c>
      <c r="I15" s="122"/>
      <c r="J15" s="30"/>
    </row>
    <row r="16" spans="1:10" x14ac:dyDescent="0.25">
      <c r="A16" s="30" t="s">
        <v>474</v>
      </c>
      <c r="B16" s="11" t="s">
        <v>235</v>
      </c>
      <c r="C16" s="11" t="s">
        <v>291</v>
      </c>
      <c r="D16" s="11" t="s">
        <v>376</v>
      </c>
      <c r="E16" s="11" t="s">
        <v>430</v>
      </c>
      <c r="F16" s="30"/>
      <c r="G16" s="18">
        <v>9</v>
      </c>
      <c r="H16" s="122" t="s">
        <v>147</v>
      </c>
      <c r="I16" s="122"/>
      <c r="J16" s="30"/>
    </row>
    <row r="17" spans="1:10" ht="15.75" thickBot="1" x14ac:dyDescent="0.3">
      <c r="A17" s="30" t="s">
        <v>474</v>
      </c>
      <c r="B17" s="11" t="s">
        <v>236</v>
      </c>
      <c r="C17" s="11" t="s">
        <v>292</v>
      </c>
      <c r="D17" s="11" t="s">
        <v>377</v>
      </c>
      <c r="E17" s="11" t="s">
        <v>431</v>
      </c>
      <c r="F17" s="30"/>
      <c r="G17" s="31">
        <v>10</v>
      </c>
      <c r="H17" s="123" t="s">
        <v>148</v>
      </c>
      <c r="I17" s="123"/>
      <c r="J17" s="30"/>
    </row>
    <row r="18" spans="1:10" ht="15.75" thickBot="1" x14ac:dyDescent="0.3">
      <c r="A18" s="30" t="s">
        <v>474</v>
      </c>
      <c r="B18" s="11" t="s">
        <v>237</v>
      </c>
      <c r="C18" s="11" t="s">
        <v>293</v>
      </c>
      <c r="D18" s="11" t="s">
        <v>378</v>
      </c>
      <c r="E18" s="11" t="s">
        <v>432</v>
      </c>
      <c r="F18" s="30"/>
      <c r="G18" s="117" t="s">
        <v>306</v>
      </c>
      <c r="H18" s="118"/>
      <c r="I18" s="119"/>
      <c r="J18" s="30"/>
    </row>
    <row r="19" spans="1:10" x14ac:dyDescent="0.25">
      <c r="A19" s="30" t="s">
        <v>474</v>
      </c>
      <c r="B19" s="11" t="s">
        <v>238</v>
      </c>
      <c r="C19" s="11" t="s">
        <v>294</v>
      </c>
      <c r="D19" s="11" t="s">
        <v>379</v>
      </c>
      <c r="E19" s="11" t="s">
        <v>433</v>
      </c>
      <c r="F19" s="30"/>
      <c r="G19" s="121" t="str">
        <f ca="1">IF(RANDBETWEEN(0,1)=1,"Silver","Brass")</f>
        <v>Silver</v>
      </c>
      <c r="H19" s="121"/>
      <c r="I19" s="121"/>
      <c r="J19" s="30"/>
    </row>
    <row r="20" spans="1:10" x14ac:dyDescent="0.25">
      <c r="A20" s="30" t="s">
        <v>474</v>
      </c>
      <c r="B20" s="11" t="s">
        <v>239</v>
      </c>
      <c r="C20" s="11" t="s">
        <v>295</v>
      </c>
      <c r="D20" s="11" t="s">
        <v>380</v>
      </c>
      <c r="E20" s="11" t="s">
        <v>434</v>
      </c>
      <c r="F20" s="30"/>
      <c r="G20" s="30"/>
      <c r="H20" s="30"/>
      <c r="I20" s="30"/>
      <c r="J20" s="30"/>
    </row>
    <row r="21" spans="1:10" x14ac:dyDescent="0.25">
      <c r="A21" s="30" t="s">
        <v>474</v>
      </c>
      <c r="B21" s="11" t="s">
        <v>240</v>
      </c>
      <c r="C21" s="11" t="s">
        <v>296</v>
      </c>
      <c r="D21" s="11" t="s">
        <v>381</v>
      </c>
      <c r="E21" s="11" t="s">
        <v>435</v>
      </c>
      <c r="F21" s="30"/>
      <c r="G21" s="30"/>
      <c r="H21" s="30"/>
      <c r="I21" s="30"/>
      <c r="J21" s="30"/>
    </row>
    <row r="22" spans="1:10" x14ac:dyDescent="0.25">
      <c r="A22" s="30" t="s">
        <v>474</v>
      </c>
      <c r="B22" s="11" t="s">
        <v>241</v>
      </c>
      <c r="C22" s="11" t="s">
        <v>297</v>
      </c>
      <c r="D22" s="11" t="s">
        <v>475</v>
      </c>
      <c r="E22" s="11" t="s">
        <v>436</v>
      </c>
      <c r="F22" s="30"/>
      <c r="G22" s="30"/>
      <c r="H22" s="30"/>
      <c r="I22" s="30"/>
      <c r="J22" s="30"/>
    </row>
    <row r="23" spans="1:10" x14ac:dyDescent="0.25">
      <c r="A23" s="30" t="s">
        <v>474</v>
      </c>
      <c r="B23" s="11" t="s">
        <v>242</v>
      </c>
      <c r="C23" s="11" t="s">
        <v>298</v>
      </c>
      <c r="D23" s="11" t="s">
        <v>382</v>
      </c>
      <c r="E23" s="11" t="s">
        <v>437</v>
      </c>
      <c r="F23" s="30"/>
      <c r="G23" s="30"/>
      <c r="H23" s="30"/>
      <c r="I23" s="30"/>
      <c r="J23" s="30"/>
    </row>
    <row r="24" spans="1:10" x14ac:dyDescent="0.25">
      <c r="A24" s="30" t="s">
        <v>474</v>
      </c>
      <c r="B24" s="11" t="s">
        <v>243</v>
      </c>
      <c r="C24" s="11" t="s">
        <v>299</v>
      </c>
      <c r="D24" s="11" t="s">
        <v>383</v>
      </c>
      <c r="E24" s="11" t="s">
        <v>438</v>
      </c>
      <c r="F24" s="30"/>
      <c r="G24" s="30"/>
      <c r="H24" s="30"/>
      <c r="I24" s="30"/>
      <c r="J24" s="30"/>
    </row>
    <row r="25" spans="1:10" x14ac:dyDescent="0.25">
      <c r="A25" s="30" t="s">
        <v>474</v>
      </c>
      <c r="B25" s="11" t="s">
        <v>244</v>
      </c>
      <c r="C25" s="11" t="s">
        <v>476</v>
      </c>
      <c r="D25" s="11" t="s">
        <v>384</v>
      </c>
      <c r="E25" s="11" t="s">
        <v>439</v>
      </c>
      <c r="F25" s="30"/>
      <c r="G25" s="30"/>
      <c r="H25" s="30"/>
      <c r="I25" s="30"/>
      <c r="J25" s="30"/>
    </row>
    <row r="26" spans="1:10" x14ac:dyDescent="0.25">
      <c r="A26" s="30" t="s">
        <v>474</v>
      </c>
      <c r="B26" s="11" t="s">
        <v>245</v>
      </c>
      <c r="C26" s="11" t="s">
        <v>477</v>
      </c>
      <c r="D26" s="11" t="s">
        <v>385</v>
      </c>
      <c r="E26" s="11" t="s">
        <v>440</v>
      </c>
      <c r="F26" s="30"/>
      <c r="G26" s="30"/>
      <c r="H26" s="30"/>
      <c r="I26" s="30"/>
      <c r="J26" s="30"/>
    </row>
    <row r="27" spans="1:10" x14ac:dyDescent="0.25">
      <c r="A27" s="30" t="s">
        <v>474</v>
      </c>
      <c r="B27" s="11" t="s">
        <v>246</v>
      </c>
      <c r="C27" s="11" t="s">
        <v>478</v>
      </c>
      <c r="D27" s="11" t="s">
        <v>386</v>
      </c>
      <c r="E27" s="11" t="s">
        <v>441</v>
      </c>
      <c r="F27" s="30"/>
      <c r="G27" s="30"/>
      <c r="H27" s="30"/>
      <c r="I27" s="30"/>
      <c r="J27" s="30"/>
    </row>
    <row r="28" spans="1:10" x14ac:dyDescent="0.25">
      <c r="A28" s="30" t="s">
        <v>474</v>
      </c>
      <c r="B28" s="11" t="s">
        <v>247</v>
      </c>
      <c r="C28" s="11" t="s">
        <v>479</v>
      </c>
      <c r="D28" s="11" t="s">
        <v>387</v>
      </c>
      <c r="E28" s="11" t="s">
        <v>442</v>
      </c>
      <c r="F28" s="30"/>
      <c r="G28" s="30"/>
      <c r="H28" s="30"/>
      <c r="I28" s="30"/>
      <c r="J28" s="30"/>
    </row>
    <row r="29" spans="1:10" x14ac:dyDescent="0.25">
      <c r="A29" s="30" t="s">
        <v>474</v>
      </c>
      <c r="B29" s="11" t="s">
        <v>248</v>
      </c>
      <c r="C29" s="11" t="s">
        <v>480</v>
      </c>
      <c r="D29" s="11" t="s">
        <v>388</v>
      </c>
      <c r="E29" s="11" t="s">
        <v>443</v>
      </c>
      <c r="F29" s="30"/>
      <c r="G29" s="30"/>
      <c r="H29" s="30"/>
      <c r="I29" s="30"/>
      <c r="J29" s="30"/>
    </row>
    <row r="30" spans="1:10" x14ac:dyDescent="0.25">
      <c r="A30" s="30" t="s">
        <v>474</v>
      </c>
      <c r="B30" s="11" t="s">
        <v>249</v>
      </c>
      <c r="C30" s="11" t="s">
        <v>481</v>
      </c>
      <c r="D30" s="11" t="s">
        <v>389</v>
      </c>
      <c r="E30" s="11" t="s">
        <v>444</v>
      </c>
      <c r="F30" s="30"/>
      <c r="G30" s="30"/>
      <c r="H30" s="30"/>
      <c r="I30" s="30"/>
      <c r="J30" s="30"/>
    </row>
    <row r="31" spans="1:10" x14ac:dyDescent="0.25">
      <c r="A31" s="30" t="s">
        <v>474</v>
      </c>
      <c r="B31" s="11" t="s">
        <v>250</v>
      </c>
      <c r="C31" s="11" t="s">
        <v>482</v>
      </c>
      <c r="D31" s="11" t="s">
        <v>390</v>
      </c>
      <c r="E31" s="11" t="s">
        <v>445</v>
      </c>
      <c r="F31" s="30"/>
      <c r="G31" s="30"/>
      <c r="H31" s="30"/>
      <c r="I31" s="30"/>
      <c r="J31" s="30"/>
    </row>
    <row r="32" spans="1:10" x14ac:dyDescent="0.25">
      <c r="A32" s="30" t="s">
        <v>474</v>
      </c>
      <c r="B32" s="11" t="s">
        <v>251</v>
      </c>
      <c r="C32" s="11" t="s">
        <v>300</v>
      </c>
      <c r="D32" s="11" t="s">
        <v>391</v>
      </c>
      <c r="E32" s="11" t="s">
        <v>446</v>
      </c>
      <c r="F32" s="30"/>
      <c r="G32" s="30"/>
      <c r="H32" s="30"/>
      <c r="I32" s="30"/>
      <c r="J32" s="30"/>
    </row>
    <row r="33" spans="1:10" x14ac:dyDescent="0.25">
      <c r="A33" s="30" t="s">
        <v>474</v>
      </c>
      <c r="B33" s="11" t="s">
        <v>252</v>
      </c>
      <c r="C33" s="11" t="s">
        <v>301</v>
      </c>
      <c r="D33" s="11" t="s">
        <v>392</v>
      </c>
      <c r="E33" s="11" t="s">
        <v>447</v>
      </c>
      <c r="F33" s="30"/>
      <c r="G33" s="30"/>
      <c r="H33" s="30"/>
      <c r="I33" s="30"/>
      <c r="J33" s="30"/>
    </row>
    <row r="34" spans="1:10" x14ac:dyDescent="0.25">
      <c r="A34" s="30" t="s">
        <v>474</v>
      </c>
      <c r="B34" s="11" t="s">
        <v>253</v>
      </c>
      <c r="C34" s="11" t="s">
        <v>302</v>
      </c>
      <c r="D34" s="11" t="s">
        <v>393</v>
      </c>
      <c r="E34" s="11" t="s">
        <v>448</v>
      </c>
      <c r="F34" s="30"/>
      <c r="G34" s="30"/>
      <c r="H34" s="30"/>
      <c r="I34" s="30"/>
      <c r="J34" s="30"/>
    </row>
    <row r="35" spans="1:10" x14ac:dyDescent="0.25">
      <c r="A35" s="30" t="s">
        <v>474</v>
      </c>
      <c r="B35" s="11" t="s">
        <v>254</v>
      </c>
      <c r="C35" s="11" t="s">
        <v>303</v>
      </c>
      <c r="D35" s="11" t="s">
        <v>394</v>
      </c>
      <c r="E35" s="11" t="s">
        <v>449</v>
      </c>
      <c r="F35" s="30"/>
      <c r="G35" s="30"/>
      <c r="H35" s="30"/>
      <c r="I35" s="30"/>
      <c r="J35" s="30"/>
    </row>
    <row r="36" spans="1:10" x14ac:dyDescent="0.25">
      <c r="A36" s="30" t="s">
        <v>474</v>
      </c>
      <c r="B36" s="11" t="s">
        <v>255</v>
      </c>
      <c r="C36" s="11" t="s">
        <v>304</v>
      </c>
      <c r="D36" s="11" t="s">
        <v>395</v>
      </c>
      <c r="E36" s="11" t="s">
        <v>450</v>
      </c>
      <c r="F36" s="30"/>
      <c r="G36" s="30"/>
      <c r="H36" s="30"/>
      <c r="I36" s="30"/>
      <c r="J36" s="30"/>
    </row>
    <row r="37" spans="1:10" x14ac:dyDescent="0.25">
      <c r="A37" s="30" t="s">
        <v>474</v>
      </c>
      <c r="B37" s="11" t="s">
        <v>256</v>
      </c>
      <c r="C37" s="11" t="s">
        <v>305</v>
      </c>
      <c r="D37" s="11" t="s">
        <v>396</v>
      </c>
      <c r="E37" s="11" t="s">
        <v>451</v>
      </c>
      <c r="F37" s="30"/>
      <c r="G37" s="30"/>
      <c r="H37" s="30"/>
      <c r="I37" s="30"/>
      <c r="J37" s="30"/>
    </row>
    <row r="38" spans="1:10" x14ac:dyDescent="0.25">
      <c r="A38" s="30" t="s">
        <v>474</v>
      </c>
      <c r="B38" s="11" t="s">
        <v>257</v>
      </c>
      <c r="C38" s="18" t="str">
        <f ca="1">"Horn of Valhalla "&amp;$G$19&amp;" (DMG175) Rare "&amp;IF($G$19="Brass","8400gp","5600gp")</f>
        <v>Horn of Valhalla Silver (DMG175) Rare 5600gp</v>
      </c>
      <c r="D38" s="11" t="s">
        <v>397</v>
      </c>
      <c r="E38" s="11" t="s">
        <v>452</v>
      </c>
      <c r="F38" s="30"/>
      <c r="G38" s="30"/>
      <c r="H38" s="30"/>
      <c r="I38" s="30"/>
      <c r="J38" s="30"/>
    </row>
    <row r="39" spans="1:10" x14ac:dyDescent="0.25">
      <c r="A39" s="30" t="s">
        <v>474</v>
      </c>
      <c r="B39" s="11" t="s">
        <v>258</v>
      </c>
      <c r="C39" s="11" t="s">
        <v>307</v>
      </c>
      <c r="D39" s="11" t="s">
        <v>398</v>
      </c>
      <c r="E39" s="11" t="s">
        <v>453</v>
      </c>
      <c r="F39" s="30"/>
      <c r="G39" s="30"/>
      <c r="H39" s="30"/>
      <c r="I39" s="30"/>
      <c r="J39" s="30"/>
    </row>
    <row r="40" spans="1:10" x14ac:dyDescent="0.25">
      <c r="A40" s="30" t="s">
        <v>474</v>
      </c>
      <c r="B40" s="11" t="s">
        <v>259</v>
      </c>
      <c r="C40" s="11" t="s">
        <v>308</v>
      </c>
      <c r="D40" s="11" t="s">
        <v>399</v>
      </c>
      <c r="E40" s="11" t="s">
        <v>454</v>
      </c>
      <c r="F40" s="30"/>
      <c r="G40" s="30"/>
      <c r="H40" s="30"/>
      <c r="I40" s="30"/>
      <c r="J40" s="30"/>
    </row>
    <row r="41" spans="1:10" x14ac:dyDescent="0.25">
      <c r="A41" s="30" t="s">
        <v>474</v>
      </c>
      <c r="B41" s="11" t="s">
        <v>260</v>
      </c>
      <c r="C41" s="11" t="s">
        <v>309</v>
      </c>
      <c r="D41" s="11" t="s">
        <v>400</v>
      </c>
      <c r="E41" s="11" t="s">
        <v>455</v>
      </c>
      <c r="F41" s="30"/>
      <c r="G41" s="30"/>
      <c r="H41" s="30"/>
      <c r="I41" s="30"/>
      <c r="J41" s="30"/>
    </row>
    <row r="42" spans="1:10" x14ac:dyDescent="0.25">
      <c r="A42" s="30" t="s">
        <v>474</v>
      </c>
      <c r="B42" s="11" t="s">
        <v>261</v>
      </c>
      <c r="C42" s="11" t="s">
        <v>310</v>
      </c>
      <c r="D42" s="11" t="s">
        <v>401</v>
      </c>
      <c r="E42" s="11" t="s">
        <v>456</v>
      </c>
      <c r="F42" s="30"/>
      <c r="G42" s="30"/>
      <c r="H42" s="30"/>
      <c r="I42" s="30"/>
      <c r="J42" s="30"/>
    </row>
    <row r="43" spans="1:10" x14ac:dyDescent="0.25">
      <c r="A43" s="30" t="s">
        <v>474</v>
      </c>
      <c r="B43" s="11" t="s">
        <v>263</v>
      </c>
      <c r="C43" s="11" t="s">
        <v>311</v>
      </c>
      <c r="D43" s="11" t="s">
        <v>402</v>
      </c>
      <c r="E43" s="11" t="s">
        <v>457</v>
      </c>
      <c r="F43" s="30"/>
      <c r="G43" s="30"/>
      <c r="H43" s="30"/>
      <c r="I43" s="30"/>
      <c r="J43" s="30"/>
    </row>
    <row r="44" spans="1:10" x14ac:dyDescent="0.25">
      <c r="A44" s="30" t="s">
        <v>474</v>
      </c>
      <c r="B44" s="11" t="s">
        <v>265</v>
      </c>
      <c r="C44" s="11" t="s">
        <v>312</v>
      </c>
      <c r="D44" s="11" t="s">
        <v>404</v>
      </c>
      <c r="E44" s="11" t="s">
        <v>458</v>
      </c>
      <c r="F44" s="30"/>
      <c r="G44" s="30"/>
      <c r="H44" s="30"/>
      <c r="I44" s="30"/>
      <c r="J44" s="30"/>
    </row>
    <row r="45" spans="1:10" x14ac:dyDescent="0.25">
      <c r="A45" s="30" t="s">
        <v>474</v>
      </c>
      <c r="B45" s="11" t="s">
        <v>266</v>
      </c>
      <c r="C45" s="11" t="s">
        <v>313</v>
      </c>
      <c r="D45" s="11" t="s">
        <v>483</v>
      </c>
      <c r="E45" s="36"/>
      <c r="F45" s="30"/>
      <c r="G45" s="30"/>
      <c r="H45" s="30"/>
      <c r="I45" s="30"/>
      <c r="J45" s="30"/>
    </row>
    <row r="46" spans="1:10" x14ac:dyDescent="0.25">
      <c r="A46" s="30" t="s">
        <v>474</v>
      </c>
      <c r="B46" s="11" t="s">
        <v>267</v>
      </c>
      <c r="C46" s="11" t="s">
        <v>314</v>
      </c>
      <c r="D46" s="11" t="s">
        <v>406</v>
      </c>
      <c r="E46" s="36"/>
      <c r="F46" s="30"/>
      <c r="G46" s="30"/>
      <c r="H46" s="30"/>
      <c r="I46" s="30"/>
      <c r="J46" s="30"/>
    </row>
    <row r="47" spans="1:10" x14ac:dyDescent="0.25">
      <c r="A47" s="30" t="s">
        <v>474</v>
      </c>
      <c r="B47" s="11" t="s">
        <v>268</v>
      </c>
      <c r="C47" s="11" t="s">
        <v>315</v>
      </c>
      <c r="D47" s="11" t="s">
        <v>407</v>
      </c>
      <c r="E47" s="36"/>
      <c r="F47" s="30"/>
      <c r="G47" s="30"/>
      <c r="H47" s="30"/>
      <c r="I47" s="30"/>
      <c r="J47" s="30"/>
    </row>
    <row r="48" spans="1:10" x14ac:dyDescent="0.25">
      <c r="A48" s="30" t="s">
        <v>474</v>
      </c>
      <c r="B48" s="11" t="s">
        <v>269</v>
      </c>
      <c r="C48" s="11" t="s">
        <v>316</v>
      </c>
      <c r="D48" s="11" t="s">
        <v>408</v>
      </c>
      <c r="E48" s="36"/>
      <c r="F48" s="30"/>
      <c r="G48" s="30"/>
      <c r="H48" s="30"/>
      <c r="I48" s="30"/>
      <c r="J48" s="30"/>
    </row>
    <row r="49" spans="1:10" x14ac:dyDescent="0.25">
      <c r="A49" s="30" t="s">
        <v>474</v>
      </c>
      <c r="B49" s="11" t="s">
        <v>270</v>
      </c>
      <c r="C49" s="11" t="s">
        <v>338</v>
      </c>
      <c r="D49" s="11" t="s">
        <v>409</v>
      </c>
      <c r="E49" s="36"/>
      <c r="F49" s="30"/>
      <c r="G49" s="30"/>
      <c r="H49" s="30"/>
      <c r="I49" s="30"/>
      <c r="J49" s="30"/>
    </row>
    <row r="50" spans="1:10" x14ac:dyDescent="0.25">
      <c r="A50" s="30" t="s">
        <v>474</v>
      </c>
      <c r="B50" s="11" t="s">
        <v>271</v>
      </c>
      <c r="C50" s="11" t="s">
        <v>328</v>
      </c>
      <c r="D50" s="11" t="s">
        <v>410</v>
      </c>
      <c r="E50" s="36"/>
      <c r="F50" s="30"/>
      <c r="G50" s="30"/>
      <c r="H50" s="30"/>
      <c r="I50" s="30"/>
      <c r="J50" s="30"/>
    </row>
    <row r="51" spans="1:10" x14ac:dyDescent="0.25">
      <c r="A51" s="30" t="s">
        <v>474</v>
      </c>
      <c r="B51" s="11" t="s">
        <v>273</v>
      </c>
      <c r="C51" s="11" t="s">
        <v>329</v>
      </c>
      <c r="D51" s="11" t="s">
        <v>411</v>
      </c>
      <c r="E51" s="36"/>
      <c r="F51" s="30"/>
      <c r="G51" s="30"/>
      <c r="H51" s="30"/>
      <c r="I51" s="30"/>
      <c r="J51" s="30"/>
    </row>
    <row r="52" spans="1:10" x14ac:dyDescent="0.25">
      <c r="A52" s="30" t="s">
        <v>474</v>
      </c>
      <c r="B52" s="11" t="s">
        <v>274</v>
      </c>
      <c r="C52" s="11" t="s">
        <v>330</v>
      </c>
      <c r="D52" s="11" t="s">
        <v>412</v>
      </c>
      <c r="E52" s="36"/>
      <c r="F52" s="30"/>
      <c r="G52" s="30"/>
      <c r="H52" s="30"/>
      <c r="I52" s="30"/>
      <c r="J52" s="30"/>
    </row>
    <row r="53" spans="1:10" x14ac:dyDescent="0.25">
      <c r="A53" s="30" t="s">
        <v>474</v>
      </c>
      <c r="B53" s="11" t="s">
        <v>276</v>
      </c>
      <c r="C53" s="11" t="s">
        <v>331</v>
      </c>
      <c r="D53" s="11" t="s">
        <v>413</v>
      </c>
      <c r="E53" s="36"/>
      <c r="F53" s="30"/>
      <c r="G53" s="30"/>
      <c r="H53" s="30"/>
      <c r="I53" s="30"/>
      <c r="J53" s="30"/>
    </row>
    <row r="54" spans="1:10" x14ac:dyDescent="0.25">
      <c r="A54" s="30" t="s">
        <v>474</v>
      </c>
      <c r="B54" s="11" t="s">
        <v>277</v>
      </c>
      <c r="C54" s="11" t="s">
        <v>332</v>
      </c>
      <c r="D54" s="11" t="s">
        <v>414</v>
      </c>
      <c r="E54" s="36"/>
      <c r="F54" s="30"/>
      <c r="G54" s="30"/>
      <c r="H54" s="30"/>
      <c r="I54" s="30"/>
      <c r="J54" s="30"/>
    </row>
    <row r="55" spans="1:10" x14ac:dyDescent="0.25">
      <c r="A55" s="30" t="s">
        <v>474</v>
      </c>
      <c r="B55" s="36"/>
      <c r="C55" s="11" t="s">
        <v>333</v>
      </c>
      <c r="D55" s="11" t="s">
        <v>415</v>
      </c>
      <c r="E55" s="36"/>
      <c r="F55" s="30"/>
      <c r="G55" s="30"/>
      <c r="H55" s="30"/>
      <c r="I55" s="30"/>
      <c r="J55" s="30"/>
    </row>
    <row r="56" spans="1:10" x14ac:dyDescent="0.25">
      <c r="A56" s="30" t="s">
        <v>474</v>
      </c>
      <c r="B56" s="36"/>
      <c r="C56" s="18" t="str">
        <f ca="1">"Ring of "&amp;LOOKUP(RANDBETWEEN(1,10),$G$8:$G$17,$H$8:$H$17)&amp;" Resistance (DMG192) Rare 6000gp"</f>
        <v>Ring of Cold Resistance (DMG192) Rare 6000gp</v>
      </c>
      <c r="D56" s="36"/>
      <c r="E56" s="36"/>
      <c r="F56" s="30"/>
      <c r="G56" s="30"/>
      <c r="H56" s="30"/>
      <c r="I56" s="30"/>
      <c r="J56" s="30"/>
    </row>
    <row r="57" spans="1:10" x14ac:dyDescent="0.25">
      <c r="A57" s="30" t="s">
        <v>474</v>
      </c>
      <c r="B57" s="36"/>
      <c r="C57" s="11" t="s">
        <v>334</v>
      </c>
      <c r="D57" s="36"/>
      <c r="E57" s="36"/>
      <c r="F57" s="30"/>
      <c r="G57" s="30"/>
      <c r="H57" s="30"/>
      <c r="I57" s="30"/>
      <c r="J57" s="30"/>
    </row>
    <row r="58" spans="1:10" x14ac:dyDescent="0.25">
      <c r="A58" s="30" t="s">
        <v>474</v>
      </c>
      <c r="B58" s="36"/>
      <c r="C58" s="11" t="s">
        <v>335</v>
      </c>
      <c r="D58" s="36"/>
      <c r="E58" s="36"/>
      <c r="F58" s="30"/>
      <c r="G58" s="30"/>
      <c r="H58" s="30"/>
      <c r="I58" s="30"/>
      <c r="J58" s="30"/>
    </row>
    <row r="59" spans="1:10" x14ac:dyDescent="0.25">
      <c r="A59" s="30" t="s">
        <v>474</v>
      </c>
      <c r="B59" s="36"/>
      <c r="C59" s="11" t="s">
        <v>336</v>
      </c>
      <c r="D59" s="36"/>
      <c r="E59" s="36"/>
      <c r="F59" s="30"/>
      <c r="G59" s="30"/>
      <c r="H59" s="30"/>
      <c r="I59" s="30"/>
      <c r="J59" s="30"/>
    </row>
    <row r="60" spans="1:10" x14ac:dyDescent="0.25">
      <c r="A60" s="30" t="s">
        <v>474</v>
      </c>
      <c r="B60" s="36"/>
      <c r="C60" s="11" t="s">
        <v>337</v>
      </c>
      <c r="D60" s="36"/>
      <c r="E60" s="36"/>
      <c r="F60" s="30"/>
      <c r="G60" s="30"/>
      <c r="H60" s="30"/>
      <c r="I60" s="30"/>
      <c r="J60" s="30"/>
    </row>
    <row r="61" spans="1:10" x14ac:dyDescent="0.25">
      <c r="A61" s="30" t="s">
        <v>474</v>
      </c>
      <c r="B61" s="36"/>
      <c r="C61" s="11" t="s">
        <v>339</v>
      </c>
      <c r="D61" s="36"/>
      <c r="E61" s="36"/>
      <c r="F61" s="30"/>
      <c r="G61" s="30"/>
      <c r="H61" s="30"/>
      <c r="I61" s="30"/>
      <c r="J61" s="30"/>
    </row>
    <row r="62" spans="1:10" x14ac:dyDescent="0.25">
      <c r="A62" s="30" t="s">
        <v>474</v>
      </c>
      <c r="B62" s="36"/>
      <c r="C62" s="11" t="s">
        <v>341</v>
      </c>
      <c r="D62" s="36"/>
      <c r="E62" s="36"/>
      <c r="F62" s="30"/>
      <c r="G62" s="30"/>
      <c r="H62" s="30"/>
      <c r="I62" s="30"/>
      <c r="J62" s="30"/>
    </row>
    <row r="63" spans="1:10" x14ac:dyDescent="0.25">
      <c r="A63" s="30" t="s">
        <v>474</v>
      </c>
      <c r="B63" s="36"/>
      <c r="C63" s="11" t="s">
        <v>342</v>
      </c>
      <c r="D63" s="36"/>
      <c r="E63" s="36"/>
      <c r="F63" s="30"/>
      <c r="G63" s="30"/>
      <c r="H63" s="30"/>
      <c r="I63" s="30"/>
      <c r="J63" s="30"/>
    </row>
    <row r="64" spans="1:10" x14ac:dyDescent="0.25">
      <c r="A64" s="30" t="s">
        <v>474</v>
      </c>
      <c r="B64" s="36"/>
      <c r="C64" s="11" t="s">
        <v>344</v>
      </c>
      <c r="D64" s="36"/>
      <c r="E64" s="36"/>
      <c r="F64" s="30"/>
      <c r="G64" s="30"/>
      <c r="H64" s="30"/>
      <c r="I64" s="30"/>
      <c r="J64" s="30"/>
    </row>
    <row r="65" spans="1:10" x14ac:dyDescent="0.25">
      <c r="A65" s="30" t="s">
        <v>474</v>
      </c>
      <c r="B65" s="36"/>
      <c r="C65" s="11" t="s">
        <v>345</v>
      </c>
      <c r="D65" s="36"/>
      <c r="E65" s="36"/>
      <c r="F65" s="30"/>
      <c r="G65" s="30"/>
      <c r="H65" s="30"/>
      <c r="I65" s="30"/>
      <c r="J65" s="30"/>
    </row>
    <row r="66" spans="1:10" x14ac:dyDescent="0.25">
      <c r="A66" s="30" t="s">
        <v>474</v>
      </c>
      <c r="B66" s="36"/>
      <c r="C66" s="11" t="s">
        <v>346</v>
      </c>
      <c r="D66" s="36"/>
      <c r="E66" s="36"/>
      <c r="F66" s="30"/>
      <c r="G66" s="30"/>
      <c r="H66" s="30"/>
      <c r="I66" s="30"/>
      <c r="J66" s="30"/>
    </row>
    <row r="67" spans="1:10" x14ac:dyDescent="0.25">
      <c r="A67" s="30" t="s">
        <v>474</v>
      </c>
      <c r="B67" s="36"/>
      <c r="C67" s="11" t="s">
        <v>347</v>
      </c>
      <c r="D67" s="36"/>
      <c r="E67" s="36"/>
      <c r="F67" s="30"/>
      <c r="G67" s="30"/>
      <c r="H67" s="30"/>
      <c r="I67" s="30"/>
      <c r="J67" s="30"/>
    </row>
    <row r="68" spans="1:10" x14ac:dyDescent="0.25">
      <c r="A68" s="30" t="s">
        <v>474</v>
      </c>
      <c r="B68" s="36"/>
      <c r="C68" s="11" t="s">
        <v>348</v>
      </c>
      <c r="D68" s="36"/>
      <c r="E68" s="36"/>
      <c r="F68" s="30"/>
      <c r="G68" s="30"/>
      <c r="H68" s="30"/>
      <c r="I68" s="30"/>
      <c r="J68" s="30"/>
    </row>
    <row r="69" spans="1:10" x14ac:dyDescent="0.25">
      <c r="A69" s="30" t="s">
        <v>474</v>
      </c>
      <c r="B69" s="36"/>
      <c r="C69" s="11" t="s">
        <v>349</v>
      </c>
      <c r="D69" s="36"/>
      <c r="E69" s="36"/>
      <c r="F69" s="30"/>
      <c r="G69" s="30"/>
      <c r="H69" s="30"/>
      <c r="I69" s="30"/>
      <c r="J69" s="30"/>
    </row>
    <row r="70" spans="1:10" x14ac:dyDescent="0.25">
      <c r="A70" s="30" t="s">
        <v>474</v>
      </c>
      <c r="B70" s="36"/>
      <c r="C70" s="11" t="s">
        <v>350</v>
      </c>
      <c r="D70" s="36"/>
      <c r="E70" s="36"/>
      <c r="F70" s="30"/>
      <c r="G70" s="30"/>
      <c r="H70" s="30"/>
      <c r="I70" s="30"/>
      <c r="J70" s="30"/>
    </row>
    <row r="71" spans="1:10" x14ac:dyDescent="0.25">
      <c r="A71" s="30" t="s">
        <v>474</v>
      </c>
      <c r="B71" s="36"/>
      <c r="C71" s="11" t="s">
        <v>351</v>
      </c>
      <c r="D71" s="36"/>
      <c r="E71" s="36"/>
      <c r="F71" s="30"/>
      <c r="G71" s="30"/>
      <c r="H71" s="30"/>
      <c r="I71" s="30"/>
      <c r="J71" s="30"/>
    </row>
    <row r="72" spans="1:10" x14ac:dyDescent="0.25">
      <c r="A72" s="30" t="s">
        <v>474</v>
      </c>
      <c r="B72" s="36"/>
      <c r="C72" s="11" t="s">
        <v>352</v>
      </c>
      <c r="D72" s="36"/>
      <c r="E72" s="36"/>
      <c r="F72" s="30"/>
      <c r="G72" s="30"/>
      <c r="H72" s="30"/>
      <c r="I72" s="30"/>
      <c r="J72" s="30"/>
    </row>
    <row r="73" spans="1:10" x14ac:dyDescent="0.25">
      <c r="A73" s="30" t="s">
        <v>474</v>
      </c>
      <c r="B73" s="36"/>
      <c r="C73" s="11" t="s">
        <v>353</v>
      </c>
      <c r="D73" s="36"/>
      <c r="E73" s="36"/>
      <c r="F73" s="30"/>
      <c r="G73" s="30"/>
      <c r="H73" s="30"/>
      <c r="I73" s="30"/>
      <c r="J73" s="30"/>
    </row>
    <row r="74" spans="1:10" x14ac:dyDescent="0.25">
      <c r="A74" s="30" t="s">
        <v>474</v>
      </c>
      <c r="B74" s="36"/>
      <c r="C74" s="11" t="s">
        <v>354</v>
      </c>
      <c r="D74" s="36"/>
      <c r="E74" s="36"/>
      <c r="F74" s="30"/>
      <c r="G74" s="30"/>
      <c r="H74" s="30"/>
      <c r="I74" s="30"/>
      <c r="J74" s="30"/>
    </row>
    <row r="75" spans="1:10" x14ac:dyDescent="0.25">
      <c r="A75" s="30" t="s">
        <v>474</v>
      </c>
      <c r="B75" s="36"/>
      <c r="C75" s="11" t="s">
        <v>355</v>
      </c>
      <c r="D75" s="36"/>
      <c r="E75" s="36"/>
      <c r="F75" s="30"/>
      <c r="G75" s="30"/>
      <c r="H75" s="30"/>
      <c r="I75" s="30"/>
      <c r="J75" s="30"/>
    </row>
    <row r="76" spans="1:10" x14ac:dyDescent="0.25">
      <c r="A76" s="30" t="s">
        <v>474</v>
      </c>
      <c r="B76" s="36"/>
      <c r="C76" s="11" t="s">
        <v>356</v>
      </c>
      <c r="D76" s="36"/>
      <c r="E76" s="36"/>
      <c r="F76" s="30"/>
      <c r="G76" s="30"/>
      <c r="H76" s="30"/>
      <c r="I76" s="30"/>
      <c r="J76" s="30"/>
    </row>
    <row r="77" spans="1:10" x14ac:dyDescent="0.25">
      <c r="A77" s="30" t="s">
        <v>474</v>
      </c>
      <c r="B77" s="36"/>
      <c r="C77" s="11" t="s">
        <v>357</v>
      </c>
      <c r="D77" s="36"/>
      <c r="E77" s="36"/>
      <c r="F77" s="30"/>
      <c r="G77" s="30"/>
      <c r="H77" s="30"/>
      <c r="I77" s="30"/>
      <c r="J77" s="30"/>
    </row>
    <row r="78" spans="1:10" x14ac:dyDescent="0.25">
      <c r="A78" s="30" t="s">
        <v>474</v>
      </c>
      <c r="B78" s="36"/>
      <c r="C78" s="11" t="s">
        <v>358</v>
      </c>
      <c r="D78" s="36"/>
      <c r="E78" s="36"/>
      <c r="F78" s="30"/>
      <c r="G78" s="30"/>
      <c r="H78" s="30"/>
      <c r="I78" s="30"/>
      <c r="J78" s="30"/>
    </row>
    <row r="79" spans="1:10" x14ac:dyDescent="0.25">
      <c r="A79" s="30" t="s">
        <v>474</v>
      </c>
      <c r="B79" s="36"/>
      <c r="C79" s="11" t="s">
        <v>359</v>
      </c>
      <c r="D79" s="36"/>
      <c r="E79" s="36"/>
      <c r="F79" s="30"/>
      <c r="G79" s="30"/>
      <c r="H79" s="30"/>
      <c r="I79" s="30"/>
      <c r="J79" s="30"/>
    </row>
    <row r="80" spans="1:10" x14ac:dyDescent="0.25">
      <c r="A80" s="30" t="s">
        <v>474</v>
      </c>
      <c r="B80" s="36"/>
      <c r="C80" s="11" t="s">
        <v>361</v>
      </c>
      <c r="D80" s="36"/>
      <c r="E80" s="36"/>
      <c r="F80" s="30"/>
      <c r="G80" s="30"/>
      <c r="H80" s="30"/>
      <c r="I80" s="30"/>
      <c r="J80" s="30"/>
    </row>
    <row r="81" spans="1:10" x14ac:dyDescent="0.25">
      <c r="A81" s="30" t="s">
        <v>474</v>
      </c>
      <c r="B81" s="36"/>
      <c r="C81" s="11" t="s">
        <v>363</v>
      </c>
      <c r="D81" s="36"/>
      <c r="E81" s="36"/>
      <c r="F81" s="30"/>
      <c r="G81" s="30"/>
      <c r="H81" s="30"/>
      <c r="I81" s="30"/>
      <c r="J81" s="30"/>
    </row>
    <row r="82" spans="1:10" x14ac:dyDescent="0.25">
      <c r="A82" s="30" t="s">
        <v>474</v>
      </c>
      <c r="B82" s="36"/>
      <c r="C82" s="30"/>
      <c r="D82" s="36"/>
      <c r="E82" s="36"/>
      <c r="F82" s="30"/>
      <c r="G82" s="30"/>
      <c r="H82" s="30"/>
      <c r="I82" s="30"/>
      <c r="J82" s="30"/>
    </row>
    <row r="83" spans="1:10" x14ac:dyDescent="0.25">
      <c r="A83"/>
      <c r="B83"/>
      <c r="C83"/>
      <c r="D83"/>
      <c r="E83"/>
      <c r="F83"/>
      <c r="G83"/>
      <c r="H83"/>
      <c r="I83"/>
      <c r="J83"/>
    </row>
    <row r="84" spans="1:10" x14ac:dyDescent="0.25">
      <c r="A84"/>
      <c r="B84"/>
      <c r="C84"/>
      <c r="D84"/>
      <c r="E84"/>
      <c r="F84"/>
      <c r="G84"/>
      <c r="H84"/>
      <c r="I84"/>
      <c r="J84"/>
    </row>
    <row r="85" spans="1:10" x14ac:dyDescent="0.25">
      <c r="A85"/>
      <c r="B85"/>
      <c r="C85"/>
      <c r="D85"/>
      <c r="E85"/>
      <c r="F85"/>
      <c r="G85"/>
      <c r="H85"/>
      <c r="I85"/>
      <c r="J85"/>
    </row>
    <row r="86" spans="1:10" x14ac:dyDescent="0.25">
      <c r="A86"/>
      <c r="B86"/>
      <c r="C86"/>
      <c r="D86"/>
      <c r="E86"/>
      <c r="F86"/>
      <c r="G86"/>
      <c r="H86"/>
      <c r="I86"/>
      <c r="J86"/>
    </row>
    <row r="87" spans="1:10" x14ac:dyDescent="0.25">
      <c r="A87"/>
      <c r="B87"/>
      <c r="C87"/>
      <c r="D87"/>
      <c r="E87"/>
      <c r="F87"/>
      <c r="G87"/>
      <c r="H87"/>
      <c r="I87"/>
      <c r="J87"/>
    </row>
  </sheetData>
  <sheetProtection pivotTables="0"/>
  <mergeCells count="18">
    <mergeCell ref="G2:I2"/>
    <mergeCell ref="G3:I3"/>
    <mergeCell ref="H4:I4"/>
    <mergeCell ref="H5:I5"/>
    <mergeCell ref="H6:I6"/>
    <mergeCell ref="G19:I19"/>
    <mergeCell ref="H15:I15"/>
    <mergeCell ref="H16:I16"/>
    <mergeCell ref="H17:I17"/>
    <mergeCell ref="G7:I7"/>
    <mergeCell ref="G18:I18"/>
    <mergeCell ref="H9:I9"/>
    <mergeCell ref="H10:I10"/>
    <mergeCell ref="H11:I11"/>
    <mergeCell ref="H12:I12"/>
    <mergeCell ref="H13:I13"/>
    <mergeCell ref="H14:I14"/>
    <mergeCell ref="H8:I8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Store</vt:lpstr>
      <vt:lpstr>Settings</vt:lpstr>
      <vt:lpstr>Minor Magic Item Tables</vt:lpstr>
      <vt:lpstr>Major Magic Item Tables</vt:lpstr>
      <vt:lpstr>APL</vt:lpstr>
      <vt:lpstr>Base</vt:lpstr>
      <vt:lpstr>Chance_for_Major_Item</vt:lpstr>
      <vt:lpstr>Combined_Player_Levels</vt:lpstr>
      <vt:lpstr>Magic_Rarity_Constant</vt:lpstr>
      <vt:lpstr>Number_of_Inventory_Slots</vt:lpstr>
      <vt:lpstr>Number_of_Players</vt:lpstr>
      <vt:lpstr>Skill_Check_Roll</vt:lpstr>
      <vt:lpstr>Tier</vt:lpstr>
      <vt:lpstr>Use_Skill_Check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Johnston</dc:creator>
  <cp:lastModifiedBy>Ian Johnston</cp:lastModifiedBy>
  <dcterms:created xsi:type="dcterms:W3CDTF">2019-04-24T01:59:57Z</dcterms:created>
  <dcterms:modified xsi:type="dcterms:W3CDTF">2019-04-29T01:33:52Z</dcterms:modified>
</cp:coreProperties>
</file>